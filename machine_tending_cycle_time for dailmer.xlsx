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92" yWindow="792" windowWidth="22428" windowHeight="8664"/>
  </bookViews>
  <sheets>
    <sheet name="OVERALL" sheetId="4" r:id="rId1"/>
    <sheet name="1217" sheetId="2" r:id="rId2"/>
    <sheet name="1218" sheetId="5" r:id="rId3"/>
    <sheet name="1361" sheetId="6" r:id="rId4"/>
    <sheet name="1142" sheetId="7" r:id="rId5"/>
  </sheets>
  <calcPr calcId="124519"/>
</workbook>
</file>

<file path=xl/calcChain.xml><?xml version="1.0" encoding="utf-8"?>
<calcChain xmlns="http://schemas.openxmlformats.org/spreadsheetml/2006/main">
  <c r="B31" i="7"/>
  <c r="B35" s="1"/>
  <c r="B26"/>
  <c r="B34" s="1"/>
  <c r="B34" i="6"/>
  <c r="B31"/>
  <c r="B35" s="1"/>
  <c r="B26"/>
  <c r="B34" i="5"/>
  <c r="B35" s="1"/>
  <c r="B38" s="1"/>
  <c r="B39" s="1"/>
  <c r="B42" s="1"/>
  <c r="B44" s="1"/>
  <c r="B33"/>
  <c r="B30"/>
  <c r="B25"/>
  <c r="B25" i="2"/>
  <c r="B36" i="7" l="1"/>
  <c r="B39" s="1"/>
  <c r="B40" s="1"/>
  <c r="B43" s="1"/>
  <c r="B45" s="1"/>
  <c r="B36" i="6"/>
  <c r="B39" s="1"/>
  <c r="B40" s="1"/>
  <c r="B43" s="1"/>
  <c r="B45" s="1"/>
  <c r="B33" i="2"/>
  <c r="B30" l="1"/>
  <c r="B34" s="1"/>
  <c r="B35" s="1"/>
  <c r="B38" l="1"/>
  <c r="B39" s="1"/>
  <c r="B42" l="1"/>
  <c r="B44" s="1"/>
</calcChain>
</file>

<file path=xl/sharedStrings.xml><?xml version="1.0" encoding="utf-8"?>
<sst xmlns="http://schemas.openxmlformats.org/spreadsheetml/2006/main" count="172" uniqueCount="47">
  <si>
    <t>Robot Handling Time</t>
  </si>
  <si>
    <t>Pick from bin</t>
  </si>
  <si>
    <t>Move to CNC-1</t>
  </si>
  <si>
    <t>Load CNC-1</t>
  </si>
  <si>
    <t>Move to CNC-2</t>
  </si>
  <si>
    <t>Load CNC-2</t>
  </si>
  <si>
    <t>Unload CNC-2</t>
  </si>
  <si>
    <t>Move to output bin</t>
  </si>
  <si>
    <t>Place in output bin</t>
  </si>
  <si>
    <t>Total Robot Time</t>
  </si>
  <si>
    <t>CNC Machining Time</t>
  </si>
  <si>
    <t>CNC-1</t>
  </si>
  <si>
    <t>CNC-2</t>
  </si>
  <si>
    <t>Max CNC Time</t>
  </si>
  <si>
    <t>Final Cycle Time</t>
  </si>
  <si>
    <t>Robot Time</t>
  </si>
  <si>
    <t>CNC Max Time</t>
  </si>
  <si>
    <t>Output Calculation</t>
  </si>
  <si>
    <t>Cycle Time (sec)</t>
  </si>
  <si>
    <t>Parts per Hour</t>
  </si>
  <si>
    <t>Efficiency</t>
  </si>
  <si>
    <t>Ideal Output</t>
  </si>
  <si>
    <t>Efficiency (%)</t>
  </si>
  <si>
    <t>Actual Output</t>
  </si>
  <si>
    <t>CNC-1 door open</t>
  </si>
  <si>
    <t>CNC-1 door close</t>
  </si>
  <si>
    <t>CNC-2 door open</t>
  </si>
  <si>
    <t>CNC-2 door close</t>
  </si>
  <si>
    <t xml:space="preserve">Machine Tending Cycle Time </t>
  </si>
  <si>
    <t>Unload CNC-1 &amp; load part</t>
  </si>
  <si>
    <t>Description</t>
  </si>
  <si>
    <t>output/hr</t>
  </si>
  <si>
    <t>output/shift</t>
  </si>
  <si>
    <t>output/day</t>
  </si>
  <si>
    <t>efficiency</t>
  </si>
  <si>
    <t>Production requirement/ month(nos)</t>
  </si>
  <si>
    <t>Production actual/ month(nos)</t>
  </si>
  <si>
    <t>cnc machine</t>
  </si>
  <si>
    <t xml:space="preserve">cobot </t>
  </si>
  <si>
    <t>move out cobot</t>
  </si>
  <si>
    <t>buffer time</t>
  </si>
  <si>
    <t>flpping part</t>
  </si>
  <si>
    <t>1.5hrs</t>
  </si>
  <si>
    <t>loading per cycle(bin)</t>
  </si>
  <si>
    <t xml:space="preserve">1.6hrs </t>
  </si>
  <si>
    <t>1.3hrs</t>
  </si>
  <si>
    <t>1.4hrs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</si>
</sst>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J7:S11"/>
  <sheetViews>
    <sheetView tabSelected="1" topLeftCell="E1" workbookViewId="0">
      <selection activeCell="O23" sqref="O23"/>
    </sheetView>
  </sheetViews>
  <sheetFormatPr defaultRowHeight="14.4"/>
  <cols>
    <col min="10" max="10" width="10.21875" bestFit="1" customWidth="1"/>
    <col min="11" max="11" width="13.33203125" bestFit="1" customWidth="1"/>
    <col min="12" max="12" width="13.33203125" customWidth="1"/>
    <col min="13" max="13" width="11.44140625" customWidth="1"/>
    <col min="14" max="14" width="13.77734375" customWidth="1"/>
    <col min="15" max="15" width="13.44140625" customWidth="1"/>
    <col min="16" max="16" width="20.88671875" bestFit="1" customWidth="1"/>
    <col min="17" max="17" width="11.6640625" customWidth="1"/>
    <col min="18" max="18" width="25.44140625" customWidth="1"/>
    <col min="19" max="19" width="14.77734375" customWidth="1"/>
  </cols>
  <sheetData>
    <row r="7" spans="10:19">
      <c r="J7" t="s">
        <v>30</v>
      </c>
      <c r="K7" t="s">
        <v>43</v>
      </c>
      <c r="L7" t="s">
        <v>31</v>
      </c>
      <c r="M7" t="s">
        <v>32</v>
      </c>
      <c r="N7" t="s">
        <v>33</v>
      </c>
      <c r="O7" t="s">
        <v>36</v>
      </c>
      <c r="P7" t="s">
        <v>34</v>
      </c>
      <c r="Q7" t="s">
        <v>35</v>
      </c>
      <c r="R7" t="s">
        <v>37</v>
      </c>
      <c r="S7" t="s">
        <v>38</v>
      </c>
    </row>
    <row r="8" spans="10:19">
      <c r="J8">
        <v>1217</v>
      </c>
      <c r="K8" t="s">
        <v>44</v>
      </c>
      <c r="L8">
        <v>25</v>
      </c>
      <c r="M8">
        <v>188</v>
      </c>
      <c r="N8">
        <v>563</v>
      </c>
      <c r="O8">
        <v>14625</v>
      </c>
      <c r="P8" s="4">
        <v>0.85</v>
      </c>
      <c r="Q8">
        <v>15000</v>
      </c>
      <c r="R8">
        <v>2</v>
      </c>
      <c r="S8">
        <v>1</v>
      </c>
    </row>
    <row r="9" spans="10:19">
      <c r="J9">
        <v>1218</v>
      </c>
      <c r="K9" t="s">
        <v>42</v>
      </c>
      <c r="L9">
        <v>21</v>
      </c>
      <c r="M9">
        <v>158</v>
      </c>
      <c r="N9">
        <v>473</v>
      </c>
      <c r="O9">
        <v>12285</v>
      </c>
      <c r="P9" s="4">
        <v>0.85</v>
      </c>
      <c r="Q9">
        <v>15000</v>
      </c>
      <c r="R9">
        <v>2</v>
      </c>
      <c r="S9">
        <v>1</v>
      </c>
    </row>
    <row r="10" spans="10:19">
      <c r="J10">
        <v>1361</v>
      </c>
      <c r="K10" t="s">
        <v>45</v>
      </c>
      <c r="L10">
        <v>31</v>
      </c>
      <c r="M10">
        <v>233</v>
      </c>
      <c r="N10">
        <v>698</v>
      </c>
      <c r="O10">
        <v>18135</v>
      </c>
      <c r="P10" s="4">
        <v>0.85</v>
      </c>
      <c r="Q10">
        <v>25000</v>
      </c>
      <c r="R10">
        <v>2</v>
      </c>
      <c r="S10">
        <v>1</v>
      </c>
    </row>
    <row r="11" spans="10:19">
      <c r="J11">
        <v>1142</v>
      </c>
      <c r="K11" t="s">
        <v>46</v>
      </c>
      <c r="L11">
        <v>19</v>
      </c>
      <c r="M11">
        <v>143</v>
      </c>
      <c r="N11">
        <v>428</v>
      </c>
      <c r="O11">
        <v>11115</v>
      </c>
      <c r="P11" s="4">
        <v>0.85</v>
      </c>
      <c r="Q11">
        <v>15000</v>
      </c>
      <c r="R11">
        <v>2</v>
      </c>
      <c r="S1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topLeftCell="A16" workbookViewId="0">
      <selection activeCell="I36" sqref="I36"/>
    </sheetView>
  </sheetViews>
  <sheetFormatPr defaultRowHeight="14.4"/>
  <cols>
    <col min="1" max="1" width="33.44140625" customWidth="1"/>
    <col min="2" max="2" width="4.5546875" bestFit="1" customWidth="1"/>
  </cols>
  <sheetData>
    <row r="1" spans="1:2">
      <c r="A1" s="1" t="s">
        <v>28</v>
      </c>
    </row>
    <row r="3" spans="1:2">
      <c r="A3" s="1" t="s">
        <v>0</v>
      </c>
    </row>
    <row r="4" spans="1:2">
      <c r="A4" t="s">
        <v>1</v>
      </c>
      <c r="B4">
        <v>2</v>
      </c>
    </row>
    <row r="5" spans="1:2">
      <c r="A5" t="s">
        <v>2</v>
      </c>
      <c r="B5">
        <v>2</v>
      </c>
    </row>
    <row r="6" spans="1:2">
      <c r="A6" t="s">
        <v>24</v>
      </c>
      <c r="B6">
        <v>2</v>
      </c>
    </row>
    <row r="7" spans="1:2">
      <c r="A7" t="s">
        <v>3</v>
      </c>
      <c r="B7">
        <v>3</v>
      </c>
    </row>
    <row r="8" spans="1:2">
      <c r="A8" t="s">
        <v>39</v>
      </c>
      <c r="B8">
        <v>2</v>
      </c>
    </row>
    <row r="9" spans="1:2">
      <c r="A9" t="s">
        <v>25</v>
      </c>
      <c r="B9">
        <v>2</v>
      </c>
    </row>
    <row r="10" spans="1:2">
      <c r="A10" t="s">
        <v>24</v>
      </c>
      <c r="B10">
        <v>2</v>
      </c>
    </row>
    <row r="11" spans="1:2">
      <c r="A11" t="s">
        <v>29</v>
      </c>
      <c r="B11">
        <v>6</v>
      </c>
    </row>
    <row r="12" spans="1:2">
      <c r="A12" t="s">
        <v>39</v>
      </c>
      <c r="B12">
        <v>2</v>
      </c>
    </row>
    <row r="13" spans="1:2">
      <c r="A13" t="s">
        <v>25</v>
      </c>
      <c r="B13">
        <v>2</v>
      </c>
    </row>
    <row r="14" spans="1:2">
      <c r="A14" t="s">
        <v>4</v>
      </c>
      <c r="B14">
        <v>2</v>
      </c>
    </row>
    <row r="15" spans="1:2">
      <c r="A15" t="s">
        <v>26</v>
      </c>
      <c r="B15">
        <v>2</v>
      </c>
    </row>
    <row r="16" spans="1:2">
      <c r="A16" t="s">
        <v>5</v>
      </c>
      <c r="B16">
        <v>3</v>
      </c>
    </row>
    <row r="17" spans="1:2">
      <c r="A17" t="s">
        <v>39</v>
      </c>
      <c r="B17">
        <v>2</v>
      </c>
    </row>
    <row r="18" spans="1:2">
      <c r="A18" t="s">
        <v>27</v>
      </c>
      <c r="B18">
        <v>2</v>
      </c>
    </row>
    <row r="19" spans="1:2">
      <c r="A19" t="s">
        <v>26</v>
      </c>
      <c r="B19">
        <v>2</v>
      </c>
    </row>
    <row r="20" spans="1:2">
      <c r="A20" t="s">
        <v>6</v>
      </c>
      <c r="B20">
        <v>3</v>
      </c>
    </row>
    <row r="21" spans="1:2">
      <c r="A21" t="s">
        <v>27</v>
      </c>
      <c r="B21">
        <v>2</v>
      </c>
    </row>
    <row r="22" spans="1:2">
      <c r="A22" t="s">
        <v>7</v>
      </c>
      <c r="B22">
        <v>2</v>
      </c>
    </row>
    <row r="23" spans="1:2">
      <c r="A23" t="s">
        <v>8</v>
      </c>
      <c r="B23">
        <v>3</v>
      </c>
    </row>
    <row r="24" spans="1:2">
      <c r="A24" t="s">
        <v>40</v>
      </c>
      <c r="B24">
        <v>3</v>
      </c>
    </row>
    <row r="25" spans="1:2">
      <c r="A25" s="2" t="s">
        <v>9</v>
      </c>
      <c r="B25" s="2">
        <f>SUM(B3:B24)</f>
        <v>51</v>
      </c>
    </row>
    <row r="27" spans="1:2">
      <c r="A27" s="1" t="s">
        <v>10</v>
      </c>
    </row>
    <row r="28" spans="1:2">
      <c r="A28" t="s">
        <v>11</v>
      </c>
      <c r="B28">
        <v>120</v>
      </c>
    </row>
    <row r="29" spans="1:2">
      <c r="A29" t="s">
        <v>12</v>
      </c>
      <c r="B29">
        <v>118</v>
      </c>
    </row>
    <row r="30" spans="1:2">
      <c r="A30" s="2" t="s">
        <v>13</v>
      </c>
      <c r="B30" s="2">
        <f>MAX(B28:B29)</f>
        <v>120</v>
      </c>
    </row>
    <row r="32" spans="1:2">
      <c r="A32" s="1" t="s">
        <v>14</v>
      </c>
    </row>
    <row r="33" spans="1:2">
      <c r="A33" t="s">
        <v>15</v>
      </c>
      <c r="B33">
        <f>B25</f>
        <v>51</v>
      </c>
    </row>
    <row r="34" spans="1:2">
      <c r="A34" t="s">
        <v>16</v>
      </c>
      <c r="B34">
        <f>B30</f>
        <v>120</v>
      </c>
    </row>
    <row r="35" spans="1:2">
      <c r="A35" s="2" t="s">
        <v>14</v>
      </c>
      <c r="B35" s="2">
        <f>MAX(B33:B34)</f>
        <v>120</v>
      </c>
    </row>
    <row r="37" spans="1:2">
      <c r="A37" s="1" t="s">
        <v>17</v>
      </c>
    </row>
    <row r="38" spans="1:2">
      <c r="A38" t="s">
        <v>18</v>
      </c>
      <c r="B38">
        <f>B35</f>
        <v>120</v>
      </c>
    </row>
    <row r="39" spans="1:2">
      <c r="A39" t="s">
        <v>19</v>
      </c>
      <c r="B39" s="3">
        <f>3600/B38</f>
        <v>30</v>
      </c>
    </row>
    <row r="40" spans="1:2">
      <c r="B40" s="3"/>
    </row>
    <row r="41" spans="1:2">
      <c r="A41" s="1" t="s">
        <v>20</v>
      </c>
      <c r="B41" s="3"/>
    </row>
    <row r="42" spans="1:2">
      <c r="A42" t="s">
        <v>21</v>
      </c>
      <c r="B42" s="3">
        <f>B39</f>
        <v>30</v>
      </c>
    </row>
    <row r="43" spans="1:2">
      <c r="A43" t="s">
        <v>22</v>
      </c>
      <c r="B43" s="3">
        <v>85</v>
      </c>
    </row>
    <row r="44" spans="1:2">
      <c r="A44" t="s">
        <v>23</v>
      </c>
      <c r="B44" s="3">
        <f>B42*(B43/100)</f>
        <v>25.5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4"/>
  <sheetViews>
    <sheetView topLeftCell="A16" workbookViewId="0">
      <selection activeCell="F33" sqref="F33"/>
    </sheetView>
  </sheetViews>
  <sheetFormatPr defaultRowHeight="14.4"/>
  <cols>
    <col min="1" max="1" width="33.44140625" customWidth="1"/>
    <col min="2" max="2" width="15" customWidth="1"/>
  </cols>
  <sheetData>
    <row r="1" spans="1:2">
      <c r="A1" s="1" t="s">
        <v>28</v>
      </c>
    </row>
    <row r="3" spans="1:2">
      <c r="A3" s="1" t="s">
        <v>0</v>
      </c>
    </row>
    <row r="4" spans="1:2">
      <c r="A4" t="s">
        <v>1</v>
      </c>
      <c r="B4">
        <v>2</v>
      </c>
    </row>
    <row r="5" spans="1:2">
      <c r="A5" t="s">
        <v>2</v>
      </c>
      <c r="B5">
        <v>2</v>
      </c>
    </row>
    <row r="6" spans="1:2">
      <c r="A6" t="s">
        <v>24</v>
      </c>
      <c r="B6">
        <v>2</v>
      </c>
    </row>
    <row r="7" spans="1:2">
      <c r="A7" t="s">
        <v>3</v>
      </c>
      <c r="B7">
        <v>3</v>
      </c>
    </row>
    <row r="8" spans="1:2">
      <c r="A8" t="s">
        <v>39</v>
      </c>
      <c r="B8">
        <v>2</v>
      </c>
    </row>
    <row r="9" spans="1:2">
      <c r="A9" t="s">
        <v>25</v>
      </c>
      <c r="B9">
        <v>2</v>
      </c>
    </row>
    <row r="10" spans="1:2">
      <c r="A10" t="s">
        <v>24</v>
      </c>
      <c r="B10">
        <v>2</v>
      </c>
    </row>
    <row r="11" spans="1:2">
      <c r="A11" t="s">
        <v>29</v>
      </c>
      <c r="B11">
        <v>6</v>
      </c>
    </row>
    <row r="12" spans="1:2">
      <c r="A12" t="s">
        <v>39</v>
      </c>
      <c r="B12">
        <v>2</v>
      </c>
    </row>
    <row r="13" spans="1:2">
      <c r="A13" t="s">
        <v>25</v>
      </c>
      <c r="B13">
        <v>2</v>
      </c>
    </row>
    <row r="14" spans="1:2">
      <c r="A14" t="s">
        <v>4</v>
      </c>
      <c r="B14">
        <v>2</v>
      </c>
    </row>
    <row r="15" spans="1:2">
      <c r="A15" t="s">
        <v>26</v>
      </c>
      <c r="B15">
        <v>2</v>
      </c>
    </row>
    <row r="16" spans="1:2">
      <c r="A16" t="s">
        <v>5</v>
      </c>
      <c r="B16">
        <v>3</v>
      </c>
    </row>
    <row r="17" spans="1:2">
      <c r="A17" t="s">
        <v>39</v>
      </c>
      <c r="B17">
        <v>2</v>
      </c>
    </row>
    <row r="18" spans="1:2">
      <c r="A18" t="s">
        <v>27</v>
      </c>
      <c r="B18">
        <v>2</v>
      </c>
    </row>
    <row r="19" spans="1:2">
      <c r="A19" t="s">
        <v>26</v>
      </c>
      <c r="B19">
        <v>2</v>
      </c>
    </row>
    <row r="20" spans="1:2">
      <c r="A20" t="s">
        <v>6</v>
      </c>
      <c r="B20">
        <v>3</v>
      </c>
    </row>
    <row r="21" spans="1:2">
      <c r="A21" t="s">
        <v>27</v>
      </c>
      <c r="B21">
        <v>2</v>
      </c>
    </row>
    <row r="22" spans="1:2">
      <c r="A22" t="s">
        <v>7</v>
      </c>
      <c r="B22">
        <v>2</v>
      </c>
    </row>
    <row r="23" spans="1:2">
      <c r="A23" t="s">
        <v>8</v>
      </c>
      <c r="B23">
        <v>3</v>
      </c>
    </row>
    <row r="24" spans="1:2">
      <c r="A24" t="s">
        <v>40</v>
      </c>
      <c r="B24">
        <v>3</v>
      </c>
    </row>
    <row r="25" spans="1:2">
      <c r="A25" s="2" t="s">
        <v>9</v>
      </c>
      <c r="B25" s="2">
        <f>SUM(B3:B24)</f>
        <v>51</v>
      </c>
    </row>
    <row r="27" spans="1:2">
      <c r="A27" s="1" t="s">
        <v>10</v>
      </c>
    </row>
    <row r="28" spans="1:2">
      <c r="A28" t="s">
        <v>11</v>
      </c>
      <c r="B28">
        <v>140</v>
      </c>
    </row>
    <row r="29" spans="1:2">
      <c r="A29" t="s">
        <v>12</v>
      </c>
      <c r="B29">
        <v>111</v>
      </c>
    </row>
    <row r="30" spans="1:2">
      <c r="A30" s="2" t="s">
        <v>13</v>
      </c>
      <c r="B30" s="2">
        <f>MAX(B28:B29)</f>
        <v>140</v>
      </c>
    </row>
    <row r="32" spans="1:2">
      <c r="A32" s="1" t="s">
        <v>14</v>
      </c>
    </row>
    <row r="33" spans="1:2">
      <c r="A33" t="s">
        <v>15</v>
      </c>
      <c r="B33">
        <f>B25</f>
        <v>51</v>
      </c>
    </row>
    <row r="34" spans="1:2">
      <c r="A34" t="s">
        <v>16</v>
      </c>
      <c r="B34">
        <f>B30</f>
        <v>140</v>
      </c>
    </row>
    <row r="35" spans="1:2">
      <c r="A35" s="2" t="s">
        <v>14</v>
      </c>
      <c r="B35" s="2">
        <f>MAX(B33:B34)</f>
        <v>140</v>
      </c>
    </row>
    <row r="37" spans="1:2">
      <c r="A37" s="1" t="s">
        <v>17</v>
      </c>
    </row>
    <row r="38" spans="1:2">
      <c r="A38" t="s">
        <v>18</v>
      </c>
      <c r="B38">
        <f>B35</f>
        <v>140</v>
      </c>
    </row>
    <row r="39" spans="1:2">
      <c r="A39" t="s">
        <v>19</v>
      </c>
      <c r="B39" s="3">
        <f>3600/B38</f>
        <v>25.714285714285715</v>
      </c>
    </row>
    <row r="40" spans="1:2">
      <c r="B40" s="3"/>
    </row>
    <row r="41" spans="1:2">
      <c r="A41" s="1" t="s">
        <v>20</v>
      </c>
      <c r="B41" s="3"/>
    </row>
    <row r="42" spans="1:2">
      <c r="A42" t="s">
        <v>21</v>
      </c>
      <c r="B42" s="3">
        <f>B39</f>
        <v>25.714285714285715</v>
      </c>
    </row>
    <row r="43" spans="1:2">
      <c r="A43" t="s">
        <v>22</v>
      </c>
      <c r="B43" s="3">
        <v>85</v>
      </c>
    </row>
    <row r="44" spans="1:2">
      <c r="A44" t="s">
        <v>23</v>
      </c>
      <c r="B44" s="3">
        <f>B42*(B43/100)</f>
        <v>21.857142857142858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5"/>
  <sheetViews>
    <sheetView topLeftCell="A16" workbookViewId="0">
      <selection activeCell="I39" sqref="I39"/>
    </sheetView>
  </sheetViews>
  <sheetFormatPr defaultRowHeight="14.4"/>
  <cols>
    <col min="1" max="1" width="33.44140625" customWidth="1"/>
    <col min="2" max="2" width="4.5546875" bestFit="1" customWidth="1"/>
  </cols>
  <sheetData>
    <row r="1" spans="1:2">
      <c r="A1" s="1" t="s">
        <v>28</v>
      </c>
    </row>
    <row r="3" spans="1:2">
      <c r="A3" s="1" t="s">
        <v>0</v>
      </c>
    </row>
    <row r="4" spans="1:2">
      <c r="A4" t="s">
        <v>1</v>
      </c>
      <c r="B4">
        <v>2</v>
      </c>
    </row>
    <row r="5" spans="1:2">
      <c r="A5" t="s">
        <v>2</v>
      </c>
      <c r="B5">
        <v>2</v>
      </c>
    </row>
    <row r="6" spans="1:2">
      <c r="A6" t="s">
        <v>24</v>
      </c>
      <c r="B6">
        <v>2</v>
      </c>
    </row>
    <row r="7" spans="1:2">
      <c r="A7" t="s">
        <v>3</v>
      </c>
      <c r="B7">
        <v>3</v>
      </c>
    </row>
    <row r="8" spans="1:2">
      <c r="A8" t="s">
        <v>39</v>
      </c>
      <c r="B8">
        <v>2</v>
      </c>
    </row>
    <row r="9" spans="1:2">
      <c r="A9" t="s">
        <v>25</v>
      </c>
      <c r="B9">
        <v>2</v>
      </c>
    </row>
    <row r="10" spans="1:2">
      <c r="A10" t="s">
        <v>24</v>
      </c>
      <c r="B10">
        <v>2</v>
      </c>
    </row>
    <row r="11" spans="1:2">
      <c r="A11" t="s">
        <v>29</v>
      </c>
      <c r="B11">
        <v>6</v>
      </c>
    </row>
    <row r="12" spans="1:2">
      <c r="A12" t="s">
        <v>39</v>
      </c>
      <c r="B12">
        <v>2</v>
      </c>
    </row>
    <row r="13" spans="1:2">
      <c r="A13" t="s">
        <v>25</v>
      </c>
      <c r="B13">
        <v>2</v>
      </c>
    </row>
    <row r="14" spans="1:2">
      <c r="A14" t="s">
        <v>4</v>
      </c>
      <c r="B14">
        <v>2</v>
      </c>
    </row>
    <row r="15" spans="1:2">
      <c r="A15" t="s">
        <v>41</v>
      </c>
      <c r="B15">
        <v>4</v>
      </c>
    </row>
    <row r="16" spans="1:2">
      <c r="A16" t="s">
        <v>26</v>
      </c>
      <c r="B16">
        <v>2</v>
      </c>
    </row>
    <row r="17" spans="1:2">
      <c r="A17" t="s">
        <v>5</v>
      </c>
      <c r="B17">
        <v>3</v>
      </c>
    </row>
    <row r="18" spans="1:2">
      <c r="A18" t="s">
        <v>39</v>
      </c>
      <c r="B18">
        <v>2</v>
      </c>
    </row>
    <row r="19" spans="1:2">
      <c r="A19" t="s">
        <v>27</v>
      </c>
      <c r="B19">
        <v>2</v>
      </c>
    </row>
    <row r="20" spans="1:2">
      <c r="A20" t="s">
        <v>26</v>
      </c>
      <c r="B20">
        <v>2</v>
      </c>
    </row>
    <row r="21" spans="1:2">
      <c r="A21" t="s">
        <v>6</v>
      </c>
      <c r="B21">
        <v>3</v>
      </c>
    </row>
    <row r="22" spans="1:2">
      <c r="A22" t="s">
        <v>27</v>
      </c>
      <c r="B22">
        <v>2</v>
      </c>
    </row>
    <row r="23" spans="1:2">
      <c r="A23" t="s">
        <v>7</v>
      </c>
      <c r="B23">
        <v>2</v>
      </c>
    </row>
    <row r="24" spans="1:2">
      <c r="A24" t="s">
        <v>8</v>
      </c>
      <c r="B24">
        <v>3</v>
      </c>
    </row>
    <row r="25" spans="1:2">
      <c r="A25" t="s">
        <v>40</v>
      </c>
      <c r="B25">
        <v>3</v>
      </c>
    </row>
    <row r="26" spans="1:2">
      <c r="A26" s="2" t="s">
        <v>9</v>
      </c>
      <c r="B26" s="2">
        <f>SUM(B3:B25)</f>
        <v>55</v>
      </c>
    </row>
    <row r="28" spans="1:2">
      <c r="A28" s="1" t="s">
        <v>10</v>
      </c>
    </row>
    <row r="29" spans="1:2">
      <c r="A29" t="s">
        <v>11</v>
      </c>
      <c r="B29">
        <v>96</v>
      </c>
    </row>
    <row r="30" spans="1:2">
      <c r="A30" t="s">
        <v>12</v>
      </c>
      <c r="B30">
        <v>95</v>
      </c>
    </row>
    <row r="31" spans="1:2">
      <c r="A31" s="2" t="s">
        <v>13</v>
      </c>
      <c r="B31" s="2">
        <f>MAX(B29:B30)</f>
        <v>96</v>
      </c>
    </row>
    <row r="33" spans="1:2">
      <c r="A33" s="1" t="s">
        <v>14</v>
      </c>
    </row>
    <row r="34" spans="1:2">
      <c r="A34" t="s">
        <v>15</v>
      </c>
      <c r="B34">
        <f>B26</f>
        <v>55</v>
      </c>
    </row>
    <row r="35" spans="1:2">
      <c r="A35" t="s">
        <v>16</v>
      </c>
      <c r="B35">
        <f>B31</f>
        <v>96</v>
      </c>
    </row>
    <row r="36" spans="1:2">
      <c r="A36" s="2" t="s">
        <v>14</v>
      </c>
      <c r="B36" s="2">
        <f>MAX(B34:B35)</f>
        <v>96</v>
      </c>
    </row>
    <row r="38" spans="1:2">
      <c r="A38" s="1" t="s">
        <v>17</v>
      </c>
    </row>
    <row r="39" spans="1:2">
      <c r="A39" t="s">
        <v>18</v>
      </c>
      <c r="B39">
        <f>B36</f>
        <v>96</v>
      </c>
    </row>
    <row r="40" spans="1:2">
      <c r="A40" t="s">
        <v>19</v>
      </c>
      <c r="B40" s="3">
        <f>3600/B39</f>
        <v>37.5</v>
      </c>
    </row>
    <row r="41" spans="1:2">
      <c r="B41" s="3"/>
    </row>
    <row r="42" spans="1:2">
      <c r="A42" s="1" t="s">
        <v>20</v>
      </c>
      <c r="B42" s="3"/>
    </row>
    <row r="43" spans="1:2">
      <c r="A43" t="s">
        <v>21</v>
      </c>
      <c r="B43" s="3">
        <f>B40</f>
        <v>37.5</v>
      </c>
    </row>
    <row r="44" spans="1:2">
      <c r="A44" t="s">
        <v>22</v>
      </c>
      <c r="B44" s="3">
        <v>85</v>
      </c>
    </row>
    <row r="45" spans="1:2">
      <c r="A45" t="s">
        <v>23</v>
      </c>
      <c r="B45" s="3">
        <f>B43*(B44/100)</f>
        <v>31.875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topLeftCell="A22" workbookViewId="0">
      <selection activeCell="F45" sqref="F45"/>
    </sheetView>
  </sheetViews>
  <sheetFormatPr defaultRowHeight="14.4"/>
  <cols>
    <col min="1" max="1" width="33.44140625" customWidth="1"/>
    <col min="2" max="2" width="4.5546875" bestFit="1" customWidth="1"/>
  </cols>
  <sheetData>
    <row r="1" spans="1:2">
      <c r="A1" s="1" t="s">
        <v>28</v>
      </c>
    </row>
    <row r="3" spans="1:2">
      <c r="A3" s="1" t="s">
        <v>0</v>
      </c>
    </row>
    <row r="4" spans="1:2">
      <c r="A4" t="s">
        <v>1</v>
      </c>
      <c r="B4">
        <v>2</v>
      </c>
    </row>
    <row r="5" spans="1:2">
      <c r="A5" t="s">
        <v>2</v>
      </c>
      <c r="B5">
        <v>2</v>
      </c>
    </row>
    <row r="6" spans="1:2">
      <c r="A6" t="s">
        <v>24</v>
      </c>
      <c r="B6">
        <v>2</v>
      </c>
    </row>
    <row r="7" spans="1:2">
      <c r="A7" t="s">
        <v>3</v>
      </c>
      <c r="B7">
        <v>3</v>
      </c>
    </row>
    <row r="8" spans="1:2">
      <c r="A8" t="s">
        <v>39</v>
      </c>
      <c r="B8">
        <v>2</v>
      </c>
    </row>
    <row r="9" spans="1:2">
      <c r="A9" t="s">
        <v>25</v>
      </c>
      <c r="B9">
        <v>2</v>
      </c>
    </row>
    <row r="10" spans="1:2">
      <c r="A10" t="s">
        <v>24</v>
      </c>
      <c r="B10">
        <v>2</v>
      </c>
    </row>
    <row r="11" spans="1:2">
      <c r="A11" t="s">
        <v>29</v>
      </c>
      <c r="B11">
        <v>6</v>
      </c>
    </row>
    <row r="12" spans="1:2">
      <c r="A12" t="s">
        <v>39</v>
      </c>
      <c r="B12">
        <v>2</v>
      </c>
    </row>
    <row r="13" spans="1:2">
      <c r="A13" t="s">
        <v>25</v>
      </c>
      <c r="B13">
        <v>2</v>
      </c>
    </row>
    <row r="14" spans="1:2">
      <c r="A14" t="s">
        <v>4</v>
      </c>
      <c r="B14">
        <v>2</v>
      </c>
    </row>
    <row r="15" spans="1:2">
      <c r="A15" t="s">
        <v>41</v>
      </c>
      <c r="B15">
        <v>4</v>
      </c>
    </row>
    <row r="16" spans="1:2">
      <c r="A16" t="s">
        <v>26</v>
      </c>
      <c r="B16">
        <v>2</v>
      </c>
    </row>
    <row r="17" spans="1:2">
      <c r="A17" t="s">
        <v>5</v>
      </c>
      <c r="B17">
        <v>3</v>
      </c>
    </row>
    <row r="18" spans="1:2">
      <c r="A18" t="s">
        <v>39</v>
      </c>
      <c r="B18">
        <v>2</v>
      </c>
    </row>
    <row r="19" spans="1:2">
      <c r="A19" t="s">
        <v>27</v>
      </c>
      <c r="B19">
        <v>2</v>
      </c>
    </row>
    <row r="20" spans="1:2">
      <c r="A20" t="s">
        <v>26</v>
      </c>
      <c r="B20">
        <v>2</v>
      </c>
    </row>
    <row r="21" spans="1:2">
      <c r="A21" t="s">
        <v>6</v>
      </c>
      <c r="B21">
        <v>3</v>
      </c>
    </row>
    <row r="22" spans="1:2">
      <c r="A22" t="s">
        <v>27</v>
      </c>
      <c r="B22">
        <v>2</v>
      </c>
    </row>
    <row r="23" spans="1:2">
      <c r="A23" t="s">
        <v>7</v>
      </c>
      <c r="B23">
        <v>2</v>
      </c>
    </row>
    <row r="24" spans="1:2">
      <c r="A24" t="s">
        <v>8</v>
      </c>
      <c r="B24">
        <v>3</v>
      </c>
    </row>
    <row r="25" spans="1:2">
      <c r="A25" t="s">
        <v>40</v>
      </c>
      <c r="B25">
        <v>3</v>
      </c>
    </row>
    <row r="26" spans="1:2">
      <c r="A26" s="2" t="s">
        <v>9</v>
      </c>
      <c r="B26" s="2">
        <f>SUM(B3:B25)</f>
        <v>55</v>
      </c>
    </row>
    <row r="28" spans="1:2">
      <c r="A28" s="1" t="s">
        <v>10</v>
      </c>
    </row>
    <row r="29" spans="1:2">
      <c r="A29" t="s">
        <v>11</v>
      </c>
      <c r="B29">
        <v>160</v>
      </c>
    </row>
    <row r="30" spans="1:2">
      <c r="A30" t="s">
        <v>12</v>
      </c>
      <c r="B30">
        <v>155</v>
      </c>
    </row>
    <row r="31" spans="1:2">
      <c r="A31" s="2" t="s">
        <v>13</v>
      </c>
      <c r="B31" s="2">
        <f>MAX(B29:B30)</f>
        <v>160</v>
      </c>
    </row>
    <row r="33" spans="1:2">
      <c r="A33" s="1" t="s">
        <v>14</v>
      </c>
    </row>
    <row r="34" spans="1:2">
      <c r="A34" t="s">
        <v>15</v>
      </c>
      <c r="B34">
        <f>B26</f>
        <v>55</v>
      </c>
    </row>
    <row r="35" spans="1:2">
      <c r="A35" t="s">
        <v>16</v>
      </c>
      <c r="B35">
        <f>B31</f>
        <v>160</v>
      </c>
    </row>
    <row r="36" spans="1:2">
      <c r="A36" s="2" t="s">
        <v>14</v>
      </c>
      <c r="B36" s="2">
        <f>MAX(B34:B35)</f>
        <v>160</v>
      </c>
    </row>
    <row r="38" spans="1:2">
      <c r="A38" s="1" t="s">
        <v>17</v>
      </c>
    </row>
    <row r="39" spans="1:2">
      <c r="A39" t="s">
        <v>18</v>
      </c>
      <c r="B39">
        <f>B36</f>
        <v>160</v>
      </c>
    </row>
    <row r="40" spans="1:2">
      <c r="A40" t="s">
        <v>19</v>
      </c>
      <c r="B40" s="3">
        <f>3600/B39</f>
        <v>22.5</v>
      </c>
    </row>
    <row r="41" spans="1:2">
      <c r="B41" s="3"/>
    </row>
    <row r="42" spans="1:2">
      <c r="A42" s="1" t="s">
        <v>20</v>
      </c>
      <c r="B42" s="3"/>
    </row>
    <row r="43" spans="1:2">
      <c r="A43" t="s">
        <v>21</v>
      </c>
      <c r="B43" s="3">
        <f>B40</f>
        <v>22.5</v>
      </c>
    </row>
    <row r="44" spans="1:2">
      <c r="A44" t="s">
        <v>22</v>
      </c>
      <c r="B44" s="3">
        <v>85</v>
      </c>
    </row>
    <row r="45" spans="1:2">
      <c r="A45" t="s">
        <v>23</v>
      </c>
      <c r="B45" s="3">
        <f>B43*(B44/100)</f>
        <v>19.125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1217</vt:lpstr>
      <vt:lpstr>1218</vt:lpstr>
      <vt:lpstr>1361</vt:lpstr>
      <vt:lpstr>1142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Surendhar K</cp:lastModifiedBy>
  <dcterms:created xsi:type="dcterms:W3CDTF">2026-04-09T12:04:59Z</dcterms:created>
  <dcterms:modified xsi:type="dcterms:W3CDTF">2026-06-12T09:29:16Z</dcterms:modified>
</cp:coreProperties>
</file>