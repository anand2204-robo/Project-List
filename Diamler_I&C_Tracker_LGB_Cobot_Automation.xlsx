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75" tabRatio="500" activeTab="1"/>
  </bookViews>
  <sheets>
    <sheet name="Summary Dashboard" sheetId="1" r:id="rId1"/>
    <sheet name="Installation Gantt" sheetId="2" r:id="rId2"/>
    <sheet name="Material Receiving Tracker" sheetId="3" r:id="rId3"/>
    <sheet name="Daily Progress Log" sheetId="4" r:id="rId4"/>
    <sheet name="Punch List" sheetId="5" r:id="rId5"/>
  </sheets>
  <definedNames>
    <definedName name="_xlnm.Print_Titles" localSheetId="3">'Daily Progress Log'!$1:$4</definedName>
    <definedName name="_xlnm.Print_Titles" localSheetId="1">'Installation Gantt'!$1:$4,'Installation Gantt'!$A:$C</definedName>
    <definedName name="_xlnm.Print_Titles" localSheetId="2">'Material Receiving Tracker'!$1:$4</definedName>
    <definedName name="_xlnm.Print_Titles" localSheetId="4">'Punch List'!$1:$4</definedName>
    <definedName name="_xlnm.Print_Area" localSheetId="0">'Summary Dashboard'!$A$1:$I$40</definedName>
  </definedNames>
  <calcPr calcId="144525"/>
</workbook>
</file>

<file path=xl/sharedStrings.xml><?xml version="1.0" encoding="utf-8"?>
<sst xmlns="http://schemas.openxmlformats.org/spreadsheetml/2006/main" count="317" uniqueCount="192">
  <si>
    <t>LGB COBOT-MACHINE TENDING AUTOMATION</t>
  </si>
  <si>
    <t>Installation &amp; Commissioning Tracker</t>
  </si>
  <si>
    <t>PROJECT INFORMATION</t>
  </si>
  <si>
    <t>PROJECT STATUS AT A GLANCE</t>
  </si>
  <si>
    <t>Customer (End User)</t>
  </si>
  <si>
    <t>DIAMLER</t>
  </si>
  <si>
    <t>Overall Planned Duration (Days)</t>
  </si>
  <si>
    <t>Vendor / System Integrator</t>
  </si>
  <si>
    <t>Multivista Global Pvt Ltd</t>
  </si>
  <si>
    <t>Days Elapsed Since Install Start</t>
  </si>
  <si>
    <t>Project</t>
  </si>
  <si>
    <t>Cobot-Based Sprocket Pick &amp; Place Automation</t>
  </si>
  <si>
    <t>Overall % Complete (weighted)</t>
  </si>
  <si>
    <t>Site Location</t>
  </si>
  <si>
    <t>P.Palayam, Coimbatore</t>
  </si>
  <si>
    <t>Schedule Slippage (Days)</t>
  </si>
  <si>
    <t>Material Received at Site (Planned)</t>
  </si>
  <si>
    <t>Tasks Closed / Total</t>
  </si>
  <si>
    <t>Installation Start Date</t>
  </si>
  <si>
    <t>Open Punch List Items</t>
  </si>
  <si>
    <t>Planned SAT &amp; Handover Date</t>
  </si>
  <si>
    <t>Report / Update Date</t>
  </si>
  <si>
    <t>PHASE-WISE PROGRESS SUMMARY (auto-computed from 'Installation Gantt')</t>
  </si>
  <si>
    <t>Phase</t>
  </si>
  <si>
    <t>Planned Start</t>
  </si>
  <si>
    <t>Planned End</t>
  </si>
  <si>
    <t>Planned
Duration (d)</t>
  </si>
  <si>
    <t>Tasks
Closed/Total</t>
  </si>
  <si>
    <t>Avg %
Complete</t>
  </si>
  <si>
    <t>Phase Status</t>
  </si>
  <si>
    <t>RAG</t>
  </si>
  <si>
    <t>Material Receipt &amp; Inspection</t>
  </si>
  <si>
    <t>Mechanical &amp; Robot Installation</t>
  </si>
  <si>
    <t>Electrical &amp; Panel Works</t>
  </si>
  <si>
    <t>Automation, Programming &amp; Calibration</t>
  </si>
  <si>
    <t>Trials &amp; Validation</t>
  </si>
  <si>
    <t>Training &amp; Handover</t>
  </si>
  <si>
    <t>Notes: GREEN = phase fully closed. AMBER = in progress, on track. RED = at least one open task past its planned end date (overdue). Update 'Actual Start/End', '% Complete' and 'Status' in the Installation Gantt sheet daily; this dashboard recalculates automatically.</t>
  </si>
  <si>
    <t>INSTALLATION &amp; COMMISSIONING SCHEDULE – GANTT CHART (Material Receipt to SAT &amp; Handover)</t>
  </si>
  <si>
    <t>Site: P.Palayam. Coimbatore   |   Vendor: RNT Automation   |  Last Updated: (see Report Date on Dashboard)</t>
  </si>
  <si>
    <t>S.No</t>
  </si>
  <si>
    <t>Task
ID</t>
  </si>
  <si>
    <t>Activity</t>
  </si>
  <si>
    <t>Responsibility</t>
  </si>
  <si>
    <t>Pred.</t>
  </si>
  <si>
    <t>Planned
Start</t>
  </si>
  <si>
    <t>Planned
End</t>
  </si>
  <si>
    <t>Plan
Dur(d)</t>
  </si>
  <si>
    <t>Actual
Start</t>
  </si>
  <si>
    <t>Actual
End</t>
  </si>
  <si>
    <t>Act
Dur(d)</t>
  </si>
  <si>
    <t>%
Complete</t>
  </si>
  <si>
    <t>Status</t>
  </si>
  <si>
    <t>Delay
(Days)</t>
  </si>
  <si>
    <t>Remarks</t>
  </si>
  <si>
    <t>I1</t>
  </si>
  <si>
    <t>Material Receipt at Customer Site</t>
  </si>
  <si>
    <t>MULTIVISTA</t>
  </si>
  <si>
    <t>-</t>
  </si>
  <si>
    <t>Closed</t>
  </si>
  <si>
    <t>Verify delivered materials</t>
  </si>
  <si>
    <t>I2</t>
  </si>
  <si>
    <t>Unloading &amp; Inspection</t>
  </si>
  <si>
    <t>MULTIVISTA + LGB</t>
  </si>
  <si>
    <t>Check for transit damage</t>
  </si>
  <si>
    <t>I3</t>
  </si>
  <si>
    <t>Machine Positioning &amp; Alignment</t>
  </si>
  <si>
    <t>As per approved layout</t>
  </si>
  <si>
    <t>I4</t>
  </si>
  <si>
    <t>Conveyor and Lifter Installation &amp; Leveling</t>
  </si>
  <si>
    <t>In Progress</t>
  </si>
  <si>
    <t>Alignment and leveling</t>
  </si>
  <si>
    <t>I5</t>
  </si>
  <si>
    <t>Cobot Pedestal Installation</t>
  </si>
  <si>
    <t>Anchor and level</t>
  </si>
  <si>
    <t>I6</t>
  </si>
  <si>
    <t>Cobot Installation</t>
  </si>
  <si>
    <t>Robot mounting</t>
  </si>
  <si>
    <t>I7</t>
  </si>
  <si>
    <t>Gripper Installation</t>
  </si>
  <si>
    <t>Mechanical &amp; pneumatic connections</t>
  </si>
  <si>
    <t>I8</t>
  </si>
  <si>
    <t>Pneumatic Line Installation</t>
  </si>
  <si>
    <t>FRL, tubing, valves</t>
  </si>
  <si>
    <t>I9</t>
  </si>
  <si>
    <t>Control Panel Installation</t>
  </si>
  <si>
    <t>Panel mounting</t>
  </si>
  <si>
    <t>I10</t>
  </si>
  <si>
    <t>Electrical Wiring &amp; Cable Dressing</t>
  </si>
  <si>
    <t>Not Started</t>
  </si>
  <si>
    <t>Power and I/O wiring</t>
  </si>
  <si>
    <t>I11</t>
  </si>
  <si>
    <t>PLC, HMI &amp; Network Connections</t>
  </si>
  <si>
    <t>Communication setup</t>
  </si>
  <si>
    <t>I12</t>
  </si>
  <si>
    <t>Power ON &amp; I/O Verification</t>
  </si>
  <si>
    <t>Sensor and actuator checks</t>
  </si>
  <si>
    <t>I13</t>
  </si>
  <si>
    <t>Robot Calibration</t>
  </si>
  <si>
    <t>I7,I12</t>
  </si>
  <si>
    <t>TCP and frame calibration</t>
  </si>
  <si>
    <t>I14</t>
  </si>
  <si>
    <t>PLC &amp; Robot Program</t>
  </si>
  <si>
    <t>I15</t>
  </si>
  <si>
    <t>Dry Run Trial</t>
  </si>
  <si>
    <t>Without production parts</t>
  </si>
  <si>
    <t>I16</t>
  </si>
  <si>
    <t>Production Trial</t>
  </si>
  <si>
    <t>Multivista + LGB</t>
  </si>
  <si>
    <t>Actual component validation</t>
  </si>
  <si>
    <t>I17</t>
  </si>
  <si>
    <t>Cycle Time Optimization</t>
  </si>
  <si>
    <t>Performance tuning</t>
  </si>
  <si>
    <t>I18</t>
  </si>
  <si>
    <t>Safety Validation</t>
  </si>
  <si>
    <t>Safety interlocks and E-stop testing</t>
  </si>
  <si>
    <t>I19</t>
  </si>
  <si>
    <t>Operator &amp; Maintenance Training</t>
  </si>
  <si>
    <t>Customer training</t>
  </si>
  <si>
    <t>I20</t>
  </si>
  <si>
    <t>Site Acceptance Test (SAT) &amp; Handover</t>
  </si>
  <si>
    <t>Final approval</t>
  </si>
  <si>
    <t>Legend:</t>
  </si>
  <si>
    <t>Planned Duration</t>
  </si>
  <si>
    <t>Actual / Completed</t>
  </si>
  <si>
    <t>Delayed / Overdue</t>
  </si>
  <si>
    <t>Weekend</t>
  </si>
  <si>
    <t>Today</t>
  </si>
  <si>
    <t>Instructions for site team: fill in 'Actual Start', 'Actual End', '% Complete' and 'Status' daily as work progresses (blue text = editable). 'Delay (Days)' and the Gantt bars update automatically. Predecessor codes refer to Task ID (e.g. I3 = Task 3).</t>
  </si>
  <si>
    <t>NECESSARY COMPONENTS FOR COMMISSIONING – MATERIAL RECEIVING TRACKER</t>
  </si>
  <si>
    <t>Tracks every major equipment/component required at site for installation &amp; commissioning, from vendor dispatch to receipt &amp; inspection.</t>
  </si>
  <si>
    <t>Component / Item</t>
  </si>
  <si>
    <t>Specification / Model</t>
  </si>
  <si>
    <t>Qty</t>
  </si>
  <si>
    <t>Supplier / Vendor</t>
  </si>
  <si>
    <t>Expected Dispatch
Date</t>
  </si>
  <si>
    <t>Expected Receipt
at Site</t>
  </si>
  <si>
    <t>Actual Receipt
Date</t>
  </si>
  <si>
    <t>Received
Qty</t>
  </si>
  <si>
    <t>Inspection
Status</t>
  </si>
  <si>
    <t>Cobot – Universal Robots UR12e</t>
  </si>
  <si>
    <t>UR12e, 12.5 kg payload</t>
  </si>
  <si>
    <t>4 Nos</t>
  </si>
  <si>
    <t>Universal Robots (OEM)</t>
  </si>
  <si>
    <t>Pending</t>
  </si>
  <si>
    <t>Robot Gripper Set</t>
  </si>
  <si>
    <t>PZN-plus 40-AS / PGN-plus-P 80-1-AS-SD</t>
  </si>
  <si>
    <t>4 Sets</t>
  </si>
  <si>
    <t>Schunk (OEM) via MULTIVISTA</t>
  </si>
  <si>
    <t>Input Table System (OP10)</t>
  </si>
  <si>
    <t>As per approved design</t>
  </si>
  <si>
    <t>1 No</t>
  </si>
  <si>
    <t>Belt Conveyor (OP10)</t>
  </si>
  <si>
    <t>Roller Transfer Plate (UWM)</t>
  </si>
  <si>
    <t>Lifting Roller Table (UWM)</t>
  </si>
  <si>
    <t>Edge Belt Conveyor (UWM)</t>
  </si>
  <si>
    <t>Powered Roller Conveyor with Oil Collecting Tray (OWM)</t>
  </si>
  <si>
    <t>Cobot Pedestal Stand &amp; Fabrication Items</t>
  </si>
  <si>
    <t>2 Sets + misc.</t>
  </si>
  <si>
    <t>PLC &amp; HMI</t>
  </si>
  <si>
    <t>Make/model as per BOQ</t>
  </si>
  <si>
    <t>1 Set</t>
  </si>
  <si>
    <t>Sensors &amp; Control Panel Items</t>
  </si>
  <si>
    <t>As per BOQ</t>
  </si>
  <si>
    <t>1 Lot</t>
  </si>
  <si>
    <t>Pneumatic Items (FRL, tubing, valves, cylinders)</t>
  </si>
  <si>
    <t>Note: item list and quantities are based on the vendor's procurement plan (bulk single-truck delivery). Update Specification/Model, Qty and Vendor fields as per the final approved BOQ / packing list, and confirm each line on physical receipt &amp; inspection at site.</t>
  </si>
  <si>
    <t>DAILY WORK PROGRESS TRACKING – VENDOR SITE ACTIVITY LOG</t>
  </si>
  <si>
    <t>To be filled by site-in-charge every working day, cross-checking against the Installation Gantt schedule.</t>
  </si>
  <si>
    <t>Date</t>
  </si>
  <si>
    <t>Day</t>
  </si>
  <si>
    <t>Activities Worked On
(Task ID / Description)</t>
  </si>
  <si>
    <t>Vendor Team
Present</t>
  </si>
  <si>
    <t>Man-
power</t>
  </si>
  <si>
    <t>Overall
% Complete</t>
  </si>
  <si>
    <t>Work Done Today / Progress Update</t>
  </si>
  <si>
    <t>Issues / Delays Faced</t>
  </si>
  <si>
    <t>Corrective Action</t>
  </si>
  <si>
    <t>Reported By
(Vendor)</t>
  </si>
  <si>
    <t>Verified By
(Customer)</t>
  </si>
  <si>
    <t>Material Inward and Unload</t>
  </si>
  <si>
    <t>Machine movement as per layout</t>
  </si>
  <si>
    <t>Sudharsan, Marishiva</t>
  </si>
  <si>
    <t>Note: rows are pre-dated from the planned installation-start date through today, so the delay period is also captured. Add further rows below (copy row formatting) as the project continues.</t>
  </si>
  <si>
    <t>PUNCH LIST / OPEN ISSUES TRACKER</t>
  </si>
  <si>
    <t>Snags, pending items and open issues raised during installation &amp; commissioning, tracked to closure.</t>
  </si>
  <si>
    <t>Date Raised</t>
  </si>
  <si>
    <t>Area / Task</t>
  </si>
  <si>
    <t>Issue Description</t>
  </si>
  <si>
    <t>Raised By</t>
  </si>
  <si>
    <t>Target Closure
Date</t>
  </si>
  <si>
    <t>Actual Closure
Date</t>
  </si>
</sst>
</file>

<file path=xl/styles.xml><?xml version="1.0" encoding="utf-8"?>
<styleSheet xmlns="http://schemas.openxmlformats.org/spreadsheetml/2006/main">
  <numFmts count="7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176" formatCode="dd\-mmm\-yy"/>
    <numFmt numFmtId="43" formatCode="_-* #,##0.00_-;\-* #,##0.00_-;_-* &quot;-&quot;??_-;_-@_-"/>
    <numFmt numFmtId="177" formatCode="d\-mmm"/>
    <numFmt numFmtId="178" formatCode="dd\-mmm\-yyyy"/>
  </numFmts>
  <fonts count="34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i/>
      <sz val="8"/>
      <color rgb="FF7F7F7F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0000FF"/>
      <name val="Arial"/>
      <charset val="1"/>
    </font>
    <font>
      <b/>
      <sz val="7"/>
      <name val="Arial"/>
      <charset val="1"/>
    </font>
    <font>
      <b/>
      <sz val="10"/>
      <color rgb="FFFFFFFF"/>
      <name val="Arial"/>
      <charset val="1"/>
    </font>
    <font>
      <b/>
      <sz val="11"/>
      <color rgb="FF1F4E78"/>
      <name val="Arial"/>
      <charset val="1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9471D"/>
        <bgColor rgb="FF000080"/>
      </patternFill>
    </fill>
    <fill>
      <patternFill patternType="solid">
        <fgColor theme="6" tint="-0.5"/>
        <bgColor rgb="FF333333"/>
      </patternFill>
    </fill>
    <fill>
      <patternFill patternType="solid">
        <fgColor theme="6" tint="0.4"/>
        <bgColor rgb="FF33CCCC"/>
      </patternFill>
    </fill>
    <fill>
      <patternFill patternType="solid">
        <fgColor rgb="FFBDD7EE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D966"/>
        <bgColor rgb="FFFFE699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15"/>
      </right>
      <top style="thin">
        <color rgb="FFBFBFBF"/>
      </top>
      <bottom style="thin">
        <color rgb="FFBFBFBF"/>
      </bottom>
      <diagonal/>
    </border>
    <border>
      <left style="thin">
        <color theme="0" tint="-0.15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11" borderId="0" applyNumberFormat="0" applyBorder="0" applyAlignment="0" applyProtection="0">
      <alignment vertical="center"/>
    </xf>
    <xf numFmtId="43" fontId="17" fillId="0" borderId="0" applyBorder="0" applyAlignment="0" applyProtection="0"/>
    <xf numFmtId="41" fontId="17" fillId="0" borderId="0" applyBorder="0" applyAlignment="0" applyProtection="0"/>
    <xf numFmtId="42" fontId="17" fillId="0" borderId="0" applyBorder="0" applyAlignment="0" applyProtection="0"/>
    <xf numFmtId="44" fontId="17" fillId="0" borderId="0" applyBorder="0" applyAlignment="0" applyProtection="0"/>
    <xf numFmtId="9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8" borderId="12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27" borderId="9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0" fillId="5" borderId="1" xfId="0" applyFill="1" applyBorder="1"/>
    <xf numFmtId="0" fontId="8" fillId="0" borderId="0" xfId="0" applyFont="1"/>
    <xf numFmtId="0" fontId="0" fillId="6" borderId="1" xfId="0" applyFill="1" applyBorder="1"/>
    <xf numFmtId="0" fontId="0" fillId="7" borderId="1" xfId="0" applyFill="1" applyBorder="1"/>
    <xf numFmtId="1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177" fontId="10" fillId="4" borderId="1" xfId="0" applyNumberFormat="1" applyFont="1" applyFill="1" applyBorder="1" applyAlignment="1">
      <alignment horizontal="center" vertical="center" textRotation="90"/>
    </xf>
    <xf numFmtId="0" fontId="11" fillId="2" borderId="0" xfId="0" applyFont="1" applyFill="1" applyBorder="1"/>
    <xf numFmtId="0" fontId="7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indent="1"/>
    </xf>
    <xf numFmtId="0" fontId="5" fillId="0" borderId="3" xfId="0" applyFont="1" applyBorder="1" applyAlignment="1">
      <alignment vertical="center" indent="1"/>
    </xf>
    <xf numFmtId="0" fontId="0" fillId="0" borderId="4" xfId="0" applyBorder="1"/>
    <xf numFmtId="178" fontId="5" fillId="0" borderId="2" xfId="0" applyNumberFormat="1" applyFont="1" applyBorder="1" applyAlignment="1">
      <alignment vertical="center" indent="1"/>
    </xf>
    <xf numFmtId="178" fontId="5" fillId="0" borderId="3" xfId="0" applyNumberFormat="1" applyFont="1" applyBorder="1" applyAlignment="1">
      <alignment vertical="center" indent="1"/>
    </xf>
    <xf numFmtId="178" fontId="4" fillId="0" borderId="2" xfId="0" applyNumberFormat="1" applyFont="1" applyBorder="1" applyAlignment="1">
      <alignment vertical="center" indent="1"/>
    </xf>
    <xf numFmtId="178" fontId="4" fillId="0" borderId="3" xfId="0" applyNumberFormat="1" applyFont="1" applyBorder="1" applyAlignment="1">
      <alignment vertical="center" indent="1"/>
    </xf>
    <xf numFmtId="0" fontId="3" fillId="4" borderId="5" xfId="0" applyFont="1" applyFill="1" applyBorder="1" applyAlignment="1">
      <alignment horizontal="left" vertical="center" indent="1"/>
    </xf>
    <xf numFmtId="0" fontId="3" fillId="4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176" fontId="4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9">
    <dxf>
      <fill>
        <patternFill patternType="solid">
          <bgColor rgb="FFC6E0B4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D9D9D9"/>
        </patternFill>
      </fill>
    </dxf>
    <dxf>
      <font>
        <b val="1"/>
        <color rgb="FFC00000"/>
      </font>
      <fill>
        <patternFill patternType="solid">
          <bgColor rgb="FFFFC7CE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2F2F2"/>
        </patternFill>
      </fill>
    </dxf>
    <dxf>
      <border>
        <left style="medium">
          <color rgb="FFC00000"/>
        </left>
        <right style="medium">
          <color rgb="FFC0000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993366"/>
      <rgbColor rgb="00F2F2F2"/>
      <rgbColor rgb="00D9D9D9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6E0B4"/>
      <rgbColor rgb="00FFE699"/>
      <rgbColor rgb="0099CCFF"/>
      <rgbColor rgb="00FF99CC"/>
      <rgbColor rgb="00CC99FF"/>
      <rgbColor rgb="00FFC7CE"/>
      <rgbColor rgb="003366FF"/>
      <rgbColor rgb="0033CCCC"/>
      <rgbColor rgb="0099CC00"/>
      <rgbColor rgb="00FFC000"/>
      <rgbColor rgb="00FF9900"/>
      <rgbColor rgb="00FF6600"/>
      <rgbColor rgb="00666699"/>
      <rgbColor rgb="0070AD47"/>
      <rgbColor rgb="00002060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39471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B2:I26"/>
  <sheetViews>
    <sheetView showGridLines="0" workbookViewId="0">
      <selection activeCell="H14" sqref="H14"/>
    </sheetView>
  </sheetViews>
  <sheetFormatPr defaultColWidth="8.67619047619048" defaultRowHeight="15"/>
  <cols>
    <col min="1" max="1" width="3" customWidth="1"/>
    <col min="2" max="2" width="32" customWidth="1"/>
    <col min="3" max="3" width="22" customWidth="1"/>
    <col min="4" max="9" width="16" customWidth="1"/>
  </cols>
  <sheetData>
    <row r="2" ht="24" customHeight="1" spans="2:9">
      <c r="B2" s="1" t="s">
        <v>0</v>
      </c>
      <c r="C2" s="1"/>
      <c r="D2" s="1"/>
      <c r="E2" s="1"/>
      <c r="F2" s="1"/>
      <c r="G2" s="1"/>
      <c r="H2" s="1"/>
      <c r="I2" s="1"/>
    </row>
    <row r="3" ht="18" customHeight="1" spans="2:9">
      <c r="B3" s="2" t="s">
        <v>1</v>
      </c>
      <c r="C3" s="2"/>
      <c r="D3" s="2"/>
      <c r="E3" s="2"/>
      <c r="F3" s="2"/>
      <c r="G3" s="2"/>
      <c r="H3" s="2"/>
      <c r="I3" s="2"/>
    </row>
    <row r="5" spans="2:9">
      <c r="B5" s="28" t="s">
        <v>2</v>
      </c>
      <c r="C5" s="28"/>
      <c r="D5" s="28"/>
      <c r="E5" s="28"/>
      <c r="G5" s="28" t="s">
        <v>3</v>
      </c>
      <c r="H5" s="28"/>
      <c r="I5" s="28"/>
    </row>
    <row r="6" ht="24" customHeight="1" spans="2:9">
      <c r="B6" s="29" t="s">
        <v>4</v>
      </c>
      <c r="C6" s="30" t="s">
        <v>5</v>
      </c>
      <c r="D6" s="30"/>
      <c r="E6" s="31"/>
      <c r="G6" s="29" t="s">
        <v>6</v>
      </c>
      <c r="I6" s="46">
        <f>('Installation Gantt'!$H$24-'Installation Gantt'!$G$5+1)</f>
        <v>24</v>
      </c>
    </row>
    <row r="7" ht="24" customHeight="1" spans="2:9">
      <c r="B7" s="29" t="s">
        <v>7</v>
      </c>
      <c r="C7" s="30" t="s">
        <v>8</v>
      </c>
      <c r="D7" s="30"/>
      <c r="E7" s="31"/>
      <c r="G7" s="29" t="s">
        <v>9</v>
      </c>
      <c r="I7" s="46">
        <f ca="1">MAX(0,TODAY()-'Installation Gantt'!$G$7)</f>
        <v>5</v>
      </c>
    </row>
    <row r="8" ht="24" customHeight="1" spans="2:9">
      <c r="B8" s="29" t="s">
        <v>10</v>
      </c>
      <c r="C8" s="30" t="s">
        <v>11</v>
      </c>
      <c r="D8" s="30"/>
      <c r="E8" s="31"/>
      <c r="G8" s="29" t="s">
        <v>12</v>
      </c>
      <c r="I8" s="47">
        <f>IFERROR(SUMPRODUCT('Installation Gantt'!$I$5:$I$24,'Installation Gantt'!$M$5:$M$24)/SUM('Installation Gantt'!$I$5:$I$24),0)</f>
        <v>0.15</v>
      </c>
    </row>
    <row r="9" ht="24" customHeight="1" spans="2:9">
      <c r="B9" s="29" t="s">
        <v>13</v>
      </c>
      <c r="C9" s="30" t="s">
        <v>14</v>
      </c>
      <c r="D9" s="30"/>
      <c r="E9" s="30"/>
      <c r="F9" s="32"/>
      <c r="G9" s="29" t="s">
        <v>15</v>
      </c>
      <c r="I9" s="46">
        <f ca="1">MAX(0,TODAY()-'Installation Gantt'!$H$24)</f>
        <v>0</v>
      </c>
    </row>
    <row r="10" ht="24" customHeight="1" spans="2:9">
      <c r="B10" s="29" t="s">
        <v>16</v>
      </c>
      <c r="C10" s="33">
        <v>46261</v>
      </c>
      <c r="D10" s="33"/>
      <c r="E10" s="33"/>
      <c r="F10" s="32"/>
      <c r="G10" s="29" t="s">
        <v>17</v>
      </c>
      <c r="I10" s="48" t="str">
        <f>COUNTIF('Installation Gantt'!$N$5:$N$24,"Closed")&amp;" / "&amp;COUNT('Installation Gantt'!$A$5:$A$24)</f>
        <v>3 / 20</v>
      </c>
    </row>
    <row r="11" ht="24" customHeight="1" spans="2:9">
      <c r="B11" s="29" t="s">
        <v>18</v>
      </c>
      <c r="C11" s="33">
        <v>46267</v>
      </c>
      <c r="D11" s="33"/>
      <c r="E11" s="33"/>
      <c r="F11" s="32"/>
      <c r="G11" s="29" t="s">
        <v>19</v>
      </c>
      <c r="I11" s="46">
        <f>COUNTIF('Punch List'!$H$5:$H$200,"Open")+COUNTIF('Punch List'!$H$5:$H$200,"WIP")</f>
        <v>0</v>
      </c>
    </row>
    <row r="12" customHeight="1" spans="2:5">
      <c r="B12" s="29" t="s">
        <v>20</v>
      </c>
      <c r="C12" s="33">
        <v>46264</v>
      </c>
      <c r="D12" s="33"/>
      <c r="E12" s="34"/>
    </row>
    <row r="13" customHeight="1" spans="2:5">
      <c r="B13" s="29" t="s">
        <v>21</v>
      </c>
      <c r="C13" s="35">
        <f ca="1">TODAY()</f>
        <v>46272</v>
      </c>
      <c r="D13" s="35"/>
      <c r="E13" s="36"/>
    </row>
    <row r="16" ht="15.75" customHeight="1" spans="2:9">
      <c r="B16" s="37" t="s">
        <v>22</v>
      </c>
      <c r="C16" s="37"/>
      <c r="D16" s="37"/>
      <c r="E16" s="37"/>
      <c r="F16" s="37"/>
      <c r="G16" s="37"/>
      <c r="H16" s="37"/>
      <c r="I16" s="37"/>
    </row>
    <row r="17" ht="24" spans="2:9">
      <c r="B17" s="38" t="s">
        <v>23</v>
      </c>
      <c r="C17" s="38" t="s">
        <v>24</v>
      </c>
      <c r="D17" s="38" t="s">
        <v>25</v>
      </c>
      <c r="E17" s="38" t="s">
        <v>26</v>
      </c>
      <c r="F17" s="38" t="s">
        <v>27</v>
      </c>
      <c r="G17" s="38" t="s">
        <v>28</v>
      </c>
      <c r="H17" s="38" t="s">
        <v>29</v>
      </c>
      <c r="I17" s="38" t="s">
        <v>30</v>
      </c>
    </row>
    <row r="18" ht="25.5" customHeight="1" spans="2:9">
      <c r="B18" s="39" t="s">
        <v>31</v>
      </c>
      <c r="C18" s="40">
        <f>_xlfn.MINIFS('Installation Gantt'!$G$5:$G$24,'Installation Gantt'!$C$5:$C$24,$B18)</f>
        <v>46261</v>
      </c>
      <c r="D18" s="40">
        <f>_xlfn.MAXIFS('Installation Gantt'!$H$5:$H$24,'Installation Gantt'!$C$5:$C$24,$B18)</f>
        <v>46261</v>
      </c>
      <c r="E18" s="41">
        <v>1</v>
      </c>
      <c r="F18" s="42" t="str">
        <f>COUNTIFS('Installation Gantt'!$C$5:$C$24,$B18,'Installation Gantt'!$N$5:$N$24,"Closed")&amp;" / "&amp;COUNTIFS('Installation Gantt'!$C$5:$C$24,$B18)</f>
        <v>2 / 2</v>
      </c>
      <c r="G18" s="43">
        <f>IFERROR(AVERAGEIFS('Installation Gantt'!$M$5:$M$24,'Installation Gantt'!$C$5:$C$24,$B18),0)</f>
        <v>1</v>
      </c>
      <c r="H18" s="42" t="str">
        <f>IF(COUNTIFS('Installation Gantt'!$C$5:$C$24,$B18,'Installation Gantt'!$N$5:$N$24,"Closed")=COUNTIFS('Installation Gantt'!$C$5:$C$24,$B18),"Completed",IF(COUNTIFS('Installation Gantt'!$C$5:$C$24,$B18,'Installation Gantt'!$N$5:$N$24,"Not Started")=COUNTIFS('Installation Gantt'!$C$5:$C$24,$B18),"Not Started","In Progress"))</f>
        <v>Completed</v>
      </c>
      <c r="I18" s="49" t="str">
        <f ca="1" t="shared" ref="I18:I23" si="0">IF($H18="Completed","GREEN",IF(AND($D18&lt;TODAY(),$H18&lt;&gt;"Completed"),"RED","AMBER"))</f>
        <v>GREEN</v>
      </c>
    </row>
    <row r="19" ht="25.5" customHeight="1" spans="2:9">
      <c r="B19" s="44" t="s">
        <v>32</v>
      </c>
      <c r="C19" s="14">
        <f>_xlfn.MINIFS('Installation Gantt'!$G$5:$G$24,'Installation Gantt'!$C$5:$C$24,$B19)</f>
        <v>46267</v>
      </c>
      <c r="D19" s="14">
        <f>_xlfn.MAXIFS('Installation Gantt'!$H$5:$H$24,'Installation Gantt'!$C$5:$C$24,$B19)</f>
        <v>46272</v>
      </c>
      <c r="E19" s="22">
        <f>SUMIFS('Installation Gantt'!$I$5:$I$24,'Installation Gantt'!$C$5:$C$24,$B19)</f>
        <v>6</v>
      </c>
      <c r="F19" s="4" t="str">
        <f>COUNTIFS('Installation Gantt'!$C$5:$C$24,$B19,'Installation Gantt'!$N$5:$N$24,"Closed")&amp;" / "&amp;COUNTIFS('Installation Gantt'!$C$5:$C$24,$B19)</f>
        <v>1 / 6</v>
      </c>
      <c r="G19" s="45">
        <f>IFERROR(AVERAGEIFS('Installation Gantt'!$M$5:$M$24,'Installation Gantt'!$C$5:$C$24,$B19),0)</f>
        <v>1</v>
      </c>
      <c r="H19" s="4" t="str">
        <f>IF(COUNTIFS('Installation Gantt'!$C$5:$C$24,$B19,'Installation Gantt'!$N$5:$N$24,"Closed")=COUNTIFS('Installation Gantt'!$C$5:$C$24,$B19),"Completed",IF(COUNTIFS('Installation Gantt'!$C$5:$C$24,$B19,'Installation Gantt'!$N$5:$N$24,"Not Started")=COUNTIFS('Installation Gantt'!$C$5:$C$24,$B19),"Not Started","In Progress"))</f>
        <v>In Progress</v>
      </c>
      <c r="I19" s="16" t="str">
        <f ca="1" t="shared" si="0"/>
        <v>AMBER</v>
      </c>
    </row>
    <row r="20" ht="25.5" customHeight="1" spans="2:9">
      <c r="B20" s="44" t="s">
        <v>33</v>
      </c>
      <c r="C20" s="14">
        <f>_xlfn.MINIFS('Installation Gantt'!$G$5:$G$24,'Installation Gantt'!$C$5:$C$24,$B20)</f>
        <v>46273</v>
      </c>
      <c r="D20" s="14">
        <f>_xlfn.MAXIFS('Installation Gantt'!$H$5:$H$24,'Installation Gantt'!$C$5:$C$24,$B20)</f>
        <v>46274</v>
      </c>
      <c r="E20" s="22">
        <f>SUMIFS('Installation Gantt'!$I$5:$I$24,'Installation Gantt'!$C$5:$C$24,$B20)</f>
        <v>2</v>
      </c>
      <c r="F20" s="4" t="str">
        <f>COUNTIFS('Installation Gantt'!$C$5:$C$24,$B20,'Installation Gantt'!$N$5:$N$24,"Closed")&amp;" / "&amp;COUNTIFS('Installation Gantt'!$C$5:$C$24,$B20)</f>
        <v>0 / 2</v>
      </c>
      <c r="G20" s="45">
        <f>IFERROR(AVERAGEIFS('Installation Gantt'!$M$5:$M$24,'Installation Gantt'!$C$5:$C$24,$B20),0)</f>
        <v>0</v>
      </c>
      <c r="H20" s="4" t="str">
        <f>IF(COUNTIFS('Installation Gantt'!$C$5:$C$24,$B20,'Installation Gantt'!$N$5:$N$24,"Closed")=COUNTIFS('Installation Gantt'!$C$5:$C$24,$B20),"Completed",IF(COUNTIFS('Installation Gantt'!$C$5:$C$24,$B20,'Installation Gantt'!$N$5:$N$24,"Not Started")=COUNTIFS('Installation Gantt'!$C$5:$C$24,$B20),"Not Started","In Progress"))</f>
        <v>In Progress</v>
      </c>
      <c r="I20" s="16" t="str">
        <f ca="1" t="shared" si="0"/>
        <v>AMBER</v>
      </c>
    </row>
    <row r="21" ht="25.5" customHeight="1" spans="2:9">
      <c r="B21" s="44" t="s">
        <v>34</v>
      </c>
      <c r="C21" s="14">
        <f>_xlfn.MINIFS('Installation Gantt'!$G$5:$G$24,'Installation Gantt'!$C$5:$C$24,$B21)</f>
        <v>46275</v>
      </c>
      <c r="D21" s="14">
        <f>_xlfn.MAXIFS('Installation Gantt'!$H$5:$H$24,'Installation Gantt'!$C$5:$C$24,$B21)</f>
        <v>46278</v>
      </c>
      <c r="E21" s="22">
        <f>SUMIFS('Installation Gantt'!$I$5:$I$24,'Installation Gantt'!$C$5:$C$24,$B21)</f>
        <v>4</v>
      </c>
      <c r="F21" s="4" t="str">
        <f>COUNTIFS('Installation Gantt'!$C$5:$C$24,$B21,'Installation Gantt'!$N$5:$N$24,"Closed")&amp;" / "&amp;COUNTIFS('Installation Gantt'!$C$5:$C$24,$B21)</f>
        <v>0 / 4</v>
      </c>
      <c r="G21" s="45">
        <f>IFERROR(AVERAGEIFS('Installation Gantt'!$M$5:$M$24,'Installation Gantt'!$C$5:$C$24,$B21),0)</f>
        <v>0</v>
      </c>
      <c r="H21" s="4" t="str">
        <f>IF(COUNTIFS('Installation Gantt'!$C$5:$C$24,$B21,'Installation Gantt'!$N$5:$N$24,"Closed")=COUNTIFS('Installation Gantt'!$C$5:$C$24,$B21),"Completed",IF(COUNTIFS('Installation Gantt'!$C$5:$C$24,$B21,'Installation Gantt'!$N$5:$N$24,"Not Started")=COUNTIFS('Installation Gantt'!$C$5:$C$24,$B21),"Not Started","In Progress"))</f>
        <v>Not Started</v>
      </c>
      <c r="I21" s="16" t="str">
        <f ca="1" t="shared" si="0"/>
        <v>AMBER</v>
      </c>
    </row>
    <row r="22" ht="25.5" customHeight="1" spans="2:9">
      <c r="B22" s="44" t="s">
        <v>35</v>
      </c>
      <c r="C22" s="14">
        <f>_xlfn.MINIFS('Installation Gantt'!$G$5:$G$24,'Installation Gantt'!$C$5:$C$24,$B22)</f>
        <v>46279</v>
      </c>
      <c r="D22" s="14">
        <f>_xlfn.MAXIFS('Installation Gantt'!$H$5:$H$24,'Installation Gantt'!$C$5:$C$24,$B22)</f>
        <v>46282</v>
      </c>
      <c r="E22" s="22">
        <f>SUMIFS('Installation Gantt'!$I$5:$I$24,'Installation Gantt'!$C$5:$C$24,$B22)</f>
        <v>4</v>
      </c>
      <c r="F22" s="4" t="str">
        <f>COUNTIFS('Installation Gantt'!$C$5:$C$24,$B22,'Installation Gantt'!$N$5:$N$24,"Closed")&amp;" / "&amp;COUNTIFS('Installation Gantt'!$C$5:$C$24,$B22)</f>
        <v>0 / 4</v>
      </c>
      <c r="G22" s="45">
        <f>IFERROR(AVERAGEIFS('Installation Gantt'!$M$5:$M$24,'Installation Gantt'!$C$5:$C$24,$B22),0)</f>
        <v>0</v>
      </c>
      <c r="H22" s="4" t="str">
        <f>IF(COUNTIFS('Installation Gantt'!$C$5:$C$24,$B22,'Installation Gantt'!$N$5:$N$24,"Closed")=COUNTIFS('Installation Gantt'!$C$5:$C$24,$B22),"Completed",IF(COUNTIFS('Installation Gantt'!$C$5:$C$24,$B22,'Installation Gantt'!$N$5:$N$24,"Not Started")=COUNTIFS('Installation Gantt'!$C$5:$C$24,$B22),"Not Started","In Progress"))</f>
        <v>Not Started</v>
      </c>
      <c r="I22" s="16" t="str">
        <f ca="1" t="shared" si="0"/>
        <v>AMBER</v>
      </c>
    </row>
    <row r="23" ht="25.5" customHeight="1" spans="2:9">
      <c r="B23" s="44" t="s">
        <v>36</v>
      </c>
      <c r="C23" s="14">
        <f>_xlfn.MINIFS('Installation Gantt'!$G$5:$G$24,'Installation Gantt'!$C$5:$C$24,$B23)</f>
        <v>46283</v>
      </c>
      <c r="D23" s="14">
        <f>_xlfn.MAXIFS('Installation Gantt'!$H$5:$H$24,'Installation Gantt'!$C$5:$C$24,$B23)</f>
        <v>46284</v>
      </c>
      <c r="E23" s="22">
        <f>SUMIFS('Installation Gantt'!$I$5:$I$24,'Installation Gantt'!$C$5:$C$24,$B23)</f>
        <v>2</v>
      </c>
      <c r="F23" s="4" t="str">
        <f>COUNTIFS('Installation Gantt'!$C$5:$C$24,$B23,'Installation Gantt'!$N$5:$N$24,"Closed")&amp;" / "&amp;COUNTIFS('Installation Gantt'!$C$5:$C$24,$B23)</f>
        <v>0 / 2</v>
      </c>
      <c r="G23" s="45">
        <f>IFERROR(AVERAGEIFS('Installation Gantt'!$M$5:$M$24,'Installation Gantt'!$C$5:$C$24,$B23),0)</f>
        <v>0</v>
      </c>
      <c r="H23" s="4" t="str">
        <f>IF(COUNTIFS('Installation Gantt'!$C$5:$C$24,$B23,'Installation Gantt'!$N$5:$N$24,"Closed")=COUNTIFS('Installation Gantt'!$C$5:$C$24,$B23),"Completed",IF(COUNTIFS('Installation Gantt'!$C$5:$C$24,$B23,'Installation Gantt'!$N$5:$N$24,"Not Started")=COUNTIFS('Installation Gantt'!$C$5:$C$24,$B23),"Not Started","In Progress"))</f>
        <v>Not Started</v>
      </c>
      <c r="I23" s="16" t="str">
        <f ca="1" t="shared" si="0"/>
        <v>AMBER</v>
      </c>
    </row>
    <row r="25" customHeight="1" spans="2:9">
      <c r="B25" s="12" t="s">
        <v>37</v>
      </c>
      <c r="C25" s="12"/>
      <c r="D25" s="12"/>
      <c r="E25" s="12"/>
      <c r="F25" s="12"/>
      <c r="G25" s="12"/>
      <c r="H25" s="12"/>
      <c r="I25" s="12"/>
    </row>
    <row r="26" spans="2:9">
      <c r="B26" s="12"/>
      <c r="C26" s="12"/>
      <c r="D26" s="12"/>
      <c r="E26" s="12"/>
      <c r="F26" s="12"/>
      <c r="G26" s="12"/>
      <c r="H26" s="12"/>
      <c r="I26" s="12"/>
    </row>
  </sheetData>
  <mergeCells count="14">
    <mergeCell ref="B2:I2"/>
    <mergeCell ref="B3:I3"/>
    <mergeCell ref="B5:E5"/>
    <mergeCell ref="G5:I5"/>
    <mergeCell ref="C6:E6"/>
    <mergeCell ref="C7:E7"/>
    <mergeCell ref="C8:E8"/>
    <mergeCell ref="C9:E9"/>
    <mergeCell ref="C10:E10"/>
    <mergeCell ref="C11:E11"/>
    <mergeCell ref="C12:E12"/>
    <mergeCell ref="C13:E13"/>
    <mergeCell ref="B16:I16"/>
    <mergeCell ref="B25:I26"/>
  </mergeCells>
  <conditionalFormatting sqref="I18:I23">
    <cfRule type="expression" dxfId="0" priority="2">
      <formula>$I18="GREEN"</formula>
    </cfRule>
    <cfRule type="expression" dxfId="1" priority="3">
      <formula>$I18="RED"</formula>
    </cfRule>
    <cfRule type="expression" dxfId="2" priority="4">
      <formula>$I18="AMBER"</formula>
    </cfRule>
    <cfRule type="expression" dxfId="0" priority="5">
      <formula>I18="GREEN"</formula>
    </cfRule>
    <cfRule type="expression" dxfId="1" priority="6">
      <formula>I18="RED"</formula>
    </cfRule>
    <cfRule type="expression" dxfId="2" priority="7">
      <formula>I18="AMBER"</formula>
    </cfRule>
  </conditionalFormatting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2:CI29"/>
  <sheetViews>
    <sheetView showGridLines="0" tabSelected="1" workbookViewId="0">
      <pane xSplit="16" ySplit="4" topLeftCell="Q5" activePane="bottomRight" state="frozen"/>
      <selection/>
      <selection pane="topRight"/>
      <selection pane="bottomLeft"/>
      <selection pane="bottomRight" activeCell="G10" sqref="G10"/>
    </sheetView>
  </sheetViews>
  <sheetFormatPr defaultColWidth="8.67619047619048" defaultRowHeight="15"/>
  <cols>
    <col min="1" max="1" width="4" customWidth="1"/>
    <col min="2" max="2" width="7" customWidth="1"/>
    <col min="3" max="3" width="15" customWidth="1"/>
    <col min="4" max="4" width="30" customWidth="1"/>
    <col min="5" max="5" width="16" customWidth="1"/>
    <col min="6" max="6" width="9" customWidth="1"/>
    <col min="7" max="8" width="10" customWidth="1"/>
    <col min="9" max="9" width="6" customWidth="1"/>
    <col min="10" max="11" width="10" customWidth="1"/>
    <col min="12" max="12" width="6" customWidth="1"/>
    <col min="13" max="13" width="7" customWidth="1"/>
    <col min="14" max="14" width="11" customWidth="1"/>
    <col min="15" max="15" width="6" customWidth="1"/>
    <col min="16" max="16" width="24" customWidth="1"/>
    <col min="17" max="87" width="2.6" customWidth="1"/>
  </cols>
  <sheetData>
    <row r="2" ht="21.75" customHeight="1" spans="1:87">
      <c r="A2" s="1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15.75" customHeight="1" spans="1:87">
      <c r="A3" s="2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</row>
    <row r="4" ht="33.75" customHeight="1" spans="1:87">
      <c r="A4" s="3" t="s">
        <v>40</v>
      </c>
      <c r="B4" s="3" t="s">
        <v>41</v>
      </c>
      <c r="C4" s="3" t="s">
        <v>23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27">
        <v>46261</v>
      </c>
      <c r="R4" s="27">
        <v>46267</v>
      </c>
      <c r="S4" s="27">
        <v>46268</v>
      </c>
      <c r="T4" s="27">
        <v>46269</v>
      </c>
      <c r="U4" s="27">
        <v>46270</v>
      </c>
      <c r="V4" s="27">
        <v>46271</v>
      </c>
      <c r="W4" s="27">
        <v>46272</v>
      </c>
      <c r="X4" s="27">
        <v>46273</v>
      </c>
      <c r="Y4" s="27">
        <v>46274</v>
      </c>
      <c r="Z4" s="27">
        <v>46275</v>
      </c>
      <c r="AA4" s="27">
        <v>46276</v>
      </c>
      <c r="AB4" s="27">
        <v>46277</v>
      </c>
      <c r="AC4" s="27">
        <v>46278</v>
      </c>
      <c r="AD4" s="27">
        <v>46279</v>
      </c>
      <c r="AE4" s="27">
        <v>46280</v>
      </c>
      <c r="AF4" s="27">
        <v>46281</v>
      </c>
      <c r="AG4" s="27">
        <v>46282</v>
      </c>
      <c r="AH4" s="27">
        <v>46283</v>
      </c>
      <c r="AI4" s="27">
        <v>46284</v>
      </c>
      <c r="AJ4" s="27">
        <v>46285</v>
      </c>
      <c r="AK4" s="27">
        <v>46286</v>
      </c>
      <c r="AL4" s="27">
        <v>46287</v>
      </c>
      <c r="AM4" s="27">
        <v>46288</v>
      </c>
      <c r="AN4" s="27">
        <v>46289</v>
      </c>
      <c r="AO4" s="27">
        <v>46290</v>
      </c>
      <c r="AP4" s="27">
        <v>46291</v>
      </c>
      <c r="AQ4" s="27">
        <v>46292</v>
      </c>
      <c r="AR4" s="27">
        <v>46293</v>
      </c>
      <c r="AS4" s="27">
        <v>46294</v>
      </c>
      <c r="AT4" s="27">
        <v>46295</v>
      </c>
      <c r="AU4" s="27">
        <v>46296</v>
      </c>
      <c r="AV4" s="27">
        <v>46297</v>
      </c>
      <c r="AW4" s="27">
        <v>46298</v>
      </c>
      <c r="AX4" s="27">
        <v>46299</v>
      </c>
      <c r="AY4" s="27">
        <v>46300</v>
      </c>
      <c r="AZ4" s="27">
        <v>46301</v>
      </c>
      <c r="BA4" s="27">
        <v>46302</v>
      </c>
      <c r="BB4" s="27">
        <v>46303</v>
      </c>
      <c r="BC4" s="27">
        <v>46304</v>
      </c>
      <c r="BD4" s="27">
        <v>46305</v>
      </c>
      <c r="BE4" s="27">
        <v>46306</v>
      </c>
      <c r="BF4" s="27">
        <v>46307</v>
      </c>
      <c r="BG4" s="27">
        <v>46308</v>
      </c>
      <c r="BH4" s="27">
        <v>46309</v>
      </c>
      <c r="BI4" s="27">
        <v>46310</v>
      </c>
      <c r="BJ4" s="27">
        <v>46311</v>
      </c>
      <c r="BK4" s="27">
        <v>46312</v>
      </c>
      <c r="BL4" s="27">
        <v>46313</v>
      </c>
      <c r="BM4" s="27">
        <v>46314</v>
      </c>
      <c r="BN4" s="27">
        <v>46315</v>
      </c>
      <c r="BO4" s="27">
        <v>46316</v>
      </c>
      <c r="BP4" s="27">
        <v>46317</v>
      </c>
      <c r="BQ4" s="27">
        <v>46318</v>
      </c>
      <c r="BR4" s="27">
        <v>46319</v>
      </c>
      <c r="BS4" s="27">
        <v>46320</v>
      </c>
      <c r="BT4" s="27">
        <v>46321</v>
      </c>
      <c r="BU4" s="27">
        <v>46322</v>
      </c>
      <c r="BV4" s="27">
        <v>46323</v>
      </c>
      <c r="BW4" s="27">
        <v>46324</v>
      </c>
      <c r="BX4" s="27">
        <v>46325</v>
      </c>
      <c r="BY4" s="27">
        <v>46326</v>
      </c>
      <c r="BZ4" s="27">
        <v>46327</v>
      </c>
      <c r="CA4" s="27">
        <v>46328</v>
      </c>
      <c r="CB4" s="27">
        <v>46329</v>
      </c>
      <c r="CC4" s="27">
        <v>46330</v>
      </c>
      <c r="CD4" s="27">
        <v>46331</v>
      </c>
      <c r="CE4" s="27">
        <v>46332</v>
      </c>
      <c r="CF4" s="27">
        <v>46333</v>
      </c>
      <c r="CG4" s="27">
        <v>46334</v>
      </c>
      <c r="CH4" s="27">
        <v>46335</v>
      </c>
      <c r="CI4" s="27">
        <v>46336</v>
      </c>
    </row>
    <row r="5" ht="25.5" customHeight="1" spans="1:16">
      <c r="A5" s="4">
        <v>1</v>
      </c>
      <c r="B5" s="16" t="s">
        <v>55</v>
      </c>
      <c r="C5" s="13" t="s">
        <v>31</v>
      </c>
      <c r="D5" s="13" t="s">
        <v>56</v>
      </c>
      <c r="E5" s="13" t="s">
        <v>57</v>
      </c>
      <c r="F5" s="4" t="s">
        <v>58</v>
      </c>
      <c r="G5" s="14">
        <v>46261</v>
      </c>
      <c r="H5" s="14">
        <v>46261</v>
      </c>
      <c r="I5" s="22">
        <f t="shared" ref="I5:I24" si="0">$H5-$G5+1</f>
        <v>1</v>
      </c>
      <c r="J5" s="15">
        <v>46261</v>
      </c>
      <c r="K5" s="15">
        <v>46261</v>
      </c>
      <c r="L5" s="22">
        <f t="shared" ref="L5:L24" si="1">IF(AND($J5&lt;&gt;"",$K5&lt;&gt;""),$K5-$J5+1,"")</f>
        <v>1</v>
      </c>
      <c r="M5" s="23">
        <v>1</v>
      </c>
      <c r="N5" s="24" t="s">
        <v>59</v>
      </c>
      <c r="O5" s="22">
        <f ca="1" t="shared" ref="O5:O24" si="2">IF($N5="Closed",IF($K5&gt;$H5,$K5-$H5,0),IF(TODAY()&gt;$H5,TODAY()-$H5,0))</f>
        <v>0</v>
      </c>
      <c r="P5" s="13" t="s">
        <v>60</v>
      </c>
    </row>
    <row r="6" ht="25.5" customHeight="1" spans="1:16">
      <c r="A6" s="4">
        <v>2</v>
      </c>
      <c r="B6" s="16" t="s">
        <v>61</v>
      </c>
      <c r="C6" s="13" t="s">
        <v>31</v>
      </c>
      <c r="D6" s="13" t="s">
        <v>62</v>
      </c>
      <c r="E6" s="13" t="s">
        <v>63</v>
      </c>
      <c r="F6" s="4" t="s">
        <v>55</v>
      </c>
      <c r="G6" s="14">
        <v>46261</v>
      </c>
      <c r="H6" s="14">
        <v>46261</v>
      </c>
      <c r="I6" s="22">
        <f t="shared" si="0"/>
        <v>1</v>
      </c>
      <c r="J6" s="15">
        <v>46261</v>
      </c>
      <c r="K6" s="15">
        <v>46261</v>
      </c>
      <c r="L6" s="22">
        <f t="shared" si="1"/>
        <v>1</v>
      </c>
      <c r="M6" s="23">
        <v>1</v>
      </c>
      <c r="N6" s="24" t="s">
        <v>59</v>
      </c>
      <c r="O6" s="22">
        <f ca="1" t="shared" si="2"/>
        <v>0</v>
      </c>
      <c r="P6" s="13" t="s">
        <v>64</v>
      </c>
    </row>
    <row r="7" ht="25.5" customHeight="1" spans="1:16">
      <c r="A7" s="4">
        <v>3</v>
      </c>
      <c r="B7" s="16" t="s">
        <v>65</v>
      </c>
      <c r="C7" s="13" t="s">
        <v>32</v>
      </c>
      <c r="D7" s="13" t="s">
        <v>66</v>
      </c>
      <c r="E7" s="13" t="s">
        <v>57</v>
      </c>
      <c r="F7" s="4" t="s">
        <v>61</v>
      </c>
      <c r="G7" s="14">
        <v>46267</v>
      </c>
      <c r="H7" s="14">
        <v>46267</v>
      </c>
      <c r="I7" s="22">
        <f t="shared" si="0"/>
        <v>1</v>
      </c>
      <c r="J7" s="15">
        <v>46267</v>
      </c>
      <c r="K7" s="15">
        <v>46267</v>
      </c>
      <c r="L7" s="22">
        <f t="shared" si="1"/>
        <v>1</v>
      </c>
      <c r="M7" s="23">
        <v>1</v>
      </c>
      <c r="N7" s="24" t="s">
        <v>59</v>
      </c>
      <c r="O7" s="22">
        <f ca="1" t="shared" si="2"/>
        <v>0</v>
      </c>
      <c r="P7" s="13" t="s">
        <v>67</v>
      </c>
    </row>
    <row r="8" ht="25.5" customHeight="1" spans="1:16">
      <c r="A8" s="4">
        <v>4</v>
      </c>
      <c r="B8" s="16" t="s">
        <v>68</v>
      </c>
      <c r="C8" s="13" t="s">
        <v>32</v>
      </c>
      <c r="D8" s="13" t="s">
        <v>69</v>
      </c>
      <c r="E8" s="13" t="s">
        <v>57</v>
      </c>
      <c r="F8" s="4" t="s">
        <v>65</v>
      </c>
      <c r="G8" s="14">
        <v>46268</v>
      </c>
      <c r="H8" s="14">
        <v>46268</v>
      </c>
      <c r="I8" s="22">
        <f t="shared" si="0"/>
        <v>1</v>
      </c>
      <c r="J8" s="15"/>
      <c r="K8" s="15"/>
      <c r="L8" s="22" t="str">
        <f t="shared" si="1"/>
        <v/>
      </c>
      <c r="M8" s="23"/>
      <c r="N8" s="24" t="s">
        <v>70</v>
      </c>
      <c r="O8" s="22">
        <f ca="1" t="shared" si="2"/>
        <v>4</v>
      </c>
      <c r="P8" s="13" t="s">
        <v>71</v>
      </c>
    </row>
    <row r="9" ht="25.5" customHeight="1" spans="1:16">
      <c r="A9" s="4">
        <v>5</v>
      </c>
      <c r="B9" s="16" t="s">
        <v>72</v>
      </c>
      <c r="C9" s="13" t="s">
        <v>32</v>
      </c>
      <c r="D9" s="13" t="s">
        <v>73</v>
      </c>
      <c r="E9" s="13" t="s">
        <v>57</v>
      </c>
      <c r="F9" s="4" t="s">
        <v>65</v>
      </c>
      <c r="G9" s="14">
        <v>46269</v>
      </c>
      <c r="H9" s="14">
        <v>46269</v>
      </c>
      <c r="I9" s="22">
        <f t="shared" si="0"/>
        <v>1</v>
      </c>
      <c r="J9" s="15"/>
      <c r="K9" s="15"/>
      <c r="L9" s="22" t="str">
        <f t="shared" si="1"/>
        <v/>
      </c>
      <c r="M9" s="23"/>
      <c r="N9" s="24" t="s">
        <v>70</v>
      </c>
      <c r="O9" s="22">
        <f ca="1" t="shared" si="2"/>
        <v>3</v>
      </c>
      <c r="P9" s="13" t="s">
        <v>74</v>
      </c>
    </row>
    <row r="10" ht="25.5" customHeight="1" spans="1:16">
      <c r="A10" s="4">
        <v>6</v>
      </c>
      <c r="B10" s="16" t="s">
        <v>75</v>
      </c>
      <c r="C10" s="13" t="s">
        <v>32</v>
      </c>
      <c r="D10" s="13" t="s">
        <v>76</v>
      </c>
      <c r="E10" s="13" t="s">
        <v>57</v>
      </c>
      <c r="F10" s="4" t="s">
        <v>72</v>
      </c>
      <c r="G10" s="14">
        <v>46270</v>
      </c>
      <c r="H10" s="14">
        <v>46270</v>
      </c>
      <c r="I10" s="22">
        <f t="shared" si="0"/>
        <v>1</v>
      </c>
      <c r="J10" s="15"/>
      <c r="K10" s="15"/>
      <c r="L10" s="22" t="str">
        <f t="shared" si="1"/>
        <v/>
      </c>
      <c r="M10" s="23"/>
      <c r="N10" s="24" t="s">
        <v>70</v>
      </c>
      <c r="O10" s="22">
        <f ca="1" t="shared" si="2"/>
        <v>2</v>
      </c>
      <c r="P10" s="13" t="s">
        <v>77</v>
      </c>
    </row>
    <row r="11" ht="25.5" customHeight="1" spans="1:16">
      <c r="A11" s="4">
        <v>7</v>
      </c>
      <c r="B11" s="16" t="s">
        <v>78</v>
      </c>
      <c r="C11" s="13" t="s">
        <v>32</v>
      </c>
      <c r="D11" s="13" t="s">
        <v>79</v>
      </c>
      <c r="E11" s="13" t="s">
        <v>57</v>
      </c>
      <c r="F11" s="4" t="s">
        <v>75</v>
      </c>
      <c r="G11" s="14">
        <v>46271</v>
      </c>
      <c r="H11" s="14">
        <v>46271</v>
      </c>
      <c r="I11" s="22">
        <f t="shared" si="0"/>
        <v>1</v>
      </c>
      <c r="J11" s="15"/>
      <c r="K11" s="15"/>
      <c r="L11" s="22" t="str">
        <f t="shared" si="1"/>
        <v/>
      </c>
      <c r="M11" s="23"/>
      <c r="N11" s="24" t="s">
        <v>70</v>
      </c>
      <c r="O11" s="22">
        <f ca="1" t="shared" si="2"/>
        <v>1</v>
      </c>
      <c r="P11" s="13" t="s">
        <v>80</v>
      </c>
    </row>
    <row r="12" ht="25.5" customHeight="1" spans="1:16">
      <c r="A12" s="4">
        <v>8</v>
      </c>
      <c r="B12" s="16" t="s">
        <v>81</v>
      </c>
      <c r="C12" s="13" t="s">
        <v>32</v>
      </c>
      <c r="D12" s="13" t="s">
        <v>82</v>
      </c>
      <c r="E12" s="13" t="s">
        <v>57</v>
      </c>
      <c r="F12" s="4" t="s">
        <v>68</v>
      </c>
      <c r="G12" s="14">
        <v>46272</v>
      </c>
      <c r="H12" s="14">
        <v>46272</v>
      </c>
      <c r="I12" s="22">
        <f t="shared" si="0"/>
        <v>1</v>
      </c>
      <c r="J12" s="15"/>
      <c r="K12" s="15"/>
      <c r="L12" s="22" t="str">
        <f t="shared" si="1"/>
        <v/>
      </c>
      <c r="M12" s="23"/>
      <c r="N12" s="24" t="s">
        <v>70</v>
      </c>
      <c r="O12" s="22">
        <f ca="1" t="shared" si="2"/>
        <v>0</v>
      </c>
      <c r="P12" s="13" t="s">
        <v>83</v>
      </c>
    </row>
    <row r="13" ht="25.5" customHeight="1" spans="1:16">
      <c r="A13" s="4">
        <v>9</v>
      </c>
      <c r="B13" s="16" t="s">
        <v>84</v>
      </c>
      <c r="C13" s="13" t="s">
        <v>33</v>
      </c>
      <c r="D13" s="13" t="s">
        <v>85</v>
      </c>
      <c r="E13" s="13" t="s">
        <v>57</v>
      </c>
      <c r="F13" s="4" t="s">
        <v>61</v>
      </c>
      <c r="G13" s="14">
        <v>46273</v>
      </c>
      <c r="H13" s="14">
        <v>46273</v>
      </c>
      <c r="I13" s="22">
        <f t="shared" si="0"/>
        <v>1</v>
      </c>
      <c r="J13" s="15"/>
      <c r="K13" s="15"/>
      <c r="L13" s="22" t="str">
        <f t="shared" si="1"/>
        <v/>
      </c>
      <c r="M13" s="23"/>
      <c r="N13" s="24" t="s">
        <v>70</v>
      </c>
      <c r="O13" s="22">
        <f ca="1" t="shared" si="2"/>
        <v>0</v>
      </c>
      <c r="P13" s="13" t="s">
        <v>86</v>
      </c>
    </row>
    <row r="14" ht="25.5" customHeight="1" spans="1:16">
      <c r="A14" s="4">
        <v>10</v>
      </c>
      <c r="B14" s="16" t="s">
        <v>87</v>
      </c>
      <c r="C14" s="13" t="s">
        <v>33</v>
      </c>
      <c r="D14" s="13" t="s">
        <v>88</v>
      </c>
      <c r="E14" s="13" t="s">
        <v>57</v>
      </c>
      <c r="F14" s="4" t="s">
        <v>84</v>
      </c>
      <c r="G14" s="14">
        <v>46274</v>
      </c>
      <c r="H14" s="14">
        <v>46274</v>
      </c>
      <c r="I14" s="22">
        <f t="shared" si="0"/>
        <v>1</v>
      </c>
      <c r="J14" s="15"/>
      <c r="K14" s="15"/>
      <c r="L14" s="22" t="str">
        <f t="shared" si="1"/>
        <v/>
      </c>
      <c r="M14" s="23">
        <v>0</v>
      </c>
      <c r="N14" s="24" t="s">
        <v>89</v>
      </c>
      <c r="O14" s="22">
        <f ca="1" t="shared" si="2"/>
        <v>0</v>
      </c>
      <c r="P14" s="13" t="s">
        <v>90</v>
      </c>
    </row>
    <row r="15" ht="25.5" customHeight="1" spans="1:16">
      <c r="A15" s="4">
        <v>11</v>
      </c>
      <c r="B15" s="16" t="s">
        <v>91</v>
      </c>
      <c r="C15" s="13" t="s">
        <v>34</v>
      </c>
      <c r="D15" s="13" t="s">
        <v>92</v>
      </c>
      <c r="E15" s="13" t="s">
        <v>57</v>
      </c>
      <c r="F15" s="4" t="s">
        <v>87</v>
      </c>
      <c r="G15" s="14">
        <v>46275</v>
      </c>
      <c r="H15" s="14">
        <v>46275</v>
      </c>
      <c r="I15" s="22">
        <f t="shared" si="0"/>
        <v>1</v>
      </c>
      <c r="J15" s="15"/>
      <c r="K15" s="15"/>
      <c r="L15" s="22" t="str">
        <f t="shared" si="1"/>
        <v/>
      </c>
      <c r="M15" s="23">
        <v>0</v>
      </c>
      <c r="N15" s="24" t="s">
        <v>89</v>
      </c>
      <c r="O15" s="22">
        <f ca="1" t="shared" si="2"/>
        <v>0</v>
      </c>
      <c r="P15" s="13" t="s">
        <v>93</v>
      </c>
    </row>
    <row r="16" ht="25.5" customHeight="1" spans="1:16">
      <c r="A16" s="4">
        <v>12</v>
      </c>
      <c r="B16" s="16" t="s">
        <v>94</v>
      </c>
      <c r="C16" s="13" t="s">
        <v>34</v>
      </c>
      <c r="D16" s="13" t="s">
        <v>95</v>
      </c>
      <c r="E16" s="13" t="s">
        <v>57</v>
      </c>
      <c r="F16" s="4" t="s">
        <v>91</v>
      </c>
      <c r="G16" s="14">
        <v>46276</v>
      </c>
      <c r="H16" s="14">
        <v>46276</v>
      </c>
      <c r="I16" s="22">
        <f t="shared" si="0"/>
        <v>1</v>
      </c>
      <c r="J16" s="15"/>
      <c r="K16" s="15"/>
      <c r="L16" s="22" t="str">
        <f t="shared" si="1"/>
        <v/>
      </c>
      <c r="M16" s="23">
        <v>0</v>
      </c>
      <c r="N16" s="24" t="s">
        <v>89</v>
      </c>
      <c r="O16" s="22">
        <f ca="1" t="shared" si="2"/>
        <v>0</v>
      </c>
      <c r="P16" s="13" t="s">
        <v>96</v>
      </c>
    </row>
    <row r="17" ht="25.5" customHeight="1" spans="1:16">
      <c r="A17" s="4">
        <v>13</v>
      </c>
      <c r="B17" s="16" t="s">
        <v>97</v>
      </c>
      <c r="C17" s="13" t="s">
        <v>34</v>
      </c>
      <c r="D17" s="13" t="s">
        <v>98</v>
      </c>
      <c r="E17" s="13" t="s">
        <v>57</v>
      </c>
      <c r="F17" s="4" t="s">
        <v>99</v>
      </c>
      <c r="G17" s="14">
        <v>46277</v>
      </c>
      <c r="H17" s="14">
        <v>46277</v>
      </c>
      <c r="I17" s="22">
        <f t="shared" si="0"/>
        <v>1</v>
      </c>
      <c r="J17" s="15"/>
      <c r="K17" s="15"/>
      <c r="L17" s="22" t="str">
        <f t="shared" si="1"/>
        <v/>
      </c>
      <c r="M17" s="23">
        <v>0</v>
      </c>
      <c r="N17" s="24" t="s">
        <v>89</v>
      </c>
      <c r="O17" s="22">
        <f ca="1" t="shared" si="2"/>
        <v>0</v>
      </c>
      <c r="P17" s="13" t="s">
        <v>100</v>
      </c>
    </row>
    <row r="18" ht="25.5" customHeight="1" spans="1:16">
      <c r="A18" s="4">
        <v>14</v>
      </c>
      <c r="B18" s="16" t="s">
        <v>101</v>
      </c>
      <c r="C18" s="13" t="s">
        <v>34</v>
      </c>
      <c r="D18" s="13" t="s">
        <v>102</v>
      </c>
      <c r="E18" s="13" t="s">
        <v>57</v>
      </c>
      <c r="F18" s="4" t="s">
        <v>97</v>
      </c>
      <c r="G18" s="14">
        <v>46278</v>
      </c>
      <c r="H18" s="14">
        <v>46278</v>
      </c>
      <c r="I18" s="22">
        <f t="shared" si="0"/>
        <v>1</v>
      </c>
      <c r="J18" s="15"/>
      <c r="K18" s="15"/>
      <c r="L18" s="22" t="str">
        <f t="shared" si="1"/>
        <v/>
      </c>
      <c r="M18" s="23">
        <v>0</v>
      </c>
      <c r="N18" s="24" t="s">
        <v>89</v>
      </c>
      <c r="O18" s="22">
        <f ca="1" t="shared" si="2"/>
        <v>0</v>
      </c>
      <c r="P18" s="13"/>
    </row>
    <row r="19" ht="25.5" customHeight="1" spans="1:16">
      <c r="A19" s="4">
        <v>15</v>
      </c>
      <c r="B19" s="16" t="s">
        <v>103</v>
      </c>
      <c r="C19" s="13" t="s">
        <v>35</v>
      </c>
      <c r="D19" s="13" t="s">
        <v>104</v>
      </c>
      <c r="E19" s="13" t="s">
        <v>57</v>
      </c>
      <c r="F19" s="4" t="s">
        <v>101</v>
      </c>
      <c r="G19" s="14">
        <v>46279</v>
      </c>
      <c r="H19" s="14">
        <v>46279</v>
      </c>
      <c r="I19" s="22">
        <f t="shared" si="0"/>
        <v>1</v>
      </c>
      <c r="J19" s="15"/>
      <c r="K19" s="15"/>
      <c r="L19" s="22" t="str">
        <f t="shared" si="1"/>
        <v/>
      </c>
      <c r="M19" s="23">
        <v>0</v>
      </c>
      <c r="N19" s="24" t="s">
        <v>89</v>
      </c>
      <c r="O19" s="22">
        <f ca="1" t="shared" si="2"/>
        <v>0</v>
      </c>
      <c r="P19" s="13" t="s">
        <v>105</v>
      </c>
    </row>
    <row r="20" ht="25.5" customHeight="1" spans="1:16">
      <c r="A20" s="4">
        <v>16</v>
      </c>
      <c r="B20" s="16" t="s">
        <v>106</v>
      </c>
      <c r="C20" s="13" t="s">
        <v>35</v>
      </c>
      <c r="D20" s="13" t="s">
        <v>107</v>
      </c>
      <c r="E20" s="13" t="s">
        <v>108</v>
      </c>
      <c r="F20" s="4" t="s">
        <v>103</v>
      </c>
      <c r="G20" s="14">
        <v>46280</v>
      </c>
      <c r="H20" s="14">
        <v>46280</v>
      </c>
      <c r="I20" s="22">
        <f t="shared" si="0"/>
        <v>1</v>
      </c>
      <c r="J20" s="15"/>
      <c r="K20" s="15"/>
      <c r="L20" s="22" t="str">
        <f t="shared" si="1"/>
        <v/>
      </c>
      <c r="M20" s="23">
        <v>0</v>
      </c>
      <c r="N20" s="24" t="s">
        <v>89</v>
      </c>
      <c r="O20" s="22">
        <f ca="1" t="shared" si="2"/>
        <v>0</v>
      </c>
      <c r="P20" s="13" t="s">
        <v>109</v>
      </c>
    </row>
    <row r="21" ht="25.5" customHeight="1" spans="1:16">
      <c r="A21" s="4">
        <v>17</v>
      </c>
      <c r="B21" s="16" t="s">
        <v>110</v>
      </c>
      <c r="C21" s="13" t="s">
        <v>35</v>
      </c>
      <c r="D21" s="13" t="s">
        <v>111</v>
      </c>
      <c r="E21" s="13" t="s">
        <v>57</v>
      </c>
      <c r="F21" s="4" t="s">
        <v>106</v>
      </c>
      <c r="G21" s="14">
        <v>46281</v>
      </c>
      <c r="H21" s="14">
        <v>46281</v>
      </c>
      <c r="I21" s="22">
        <f t="shared" si="0"/>
        <v>1</v>
      </c>
      <c r="J21" s="15"/>
      <c r="K21" s="15"/>
      <c r="L21" s="22" t="str">
        <f t="shared" si="1"/>
        <v/>
      </c>
      <c r="M21" s="23">
        <v>0</v>
      </c>
      <c r="N21" s="24" t="s">
        <v>89</v>
      </c>
      <c r="O21" s="22">
        <f ca="1" t="shared" si="2"/>
        <v>0</v>
      </c>
      <c r="P21" s="13" t="s">
        <v>112</v>
      </c>
    </row>
    <row r="22" ht="25.5" customHeight="1" spans="1:16">
      <c r="A22" s="4">
        <v>18</v>
      </c>
      <c r="B22" s="16" t="s">
        <v>113</v>
      </c>
      <c r="C22" s="13" t="s">
        <v>35</v>
      </c>
      <c r="D22" s="13" t="s">
        <v>114</v>
      </c>
      <c r="E22" s="13" t="s">
        <v>63</v>
      </c>
      <c r="F22" s="4" t="s">
        <v>110</v>
      </c>
      <c r="G22" s="14">
        <v>46282</v>
      </c>
      <c r="H22" s="14">
        <v>46282</v>
      </c>
      <c r="I22" s="22">
        <f t="shared" si="0"/>
        <v>1</v>
      </c>
      <c r="J22" s="15"/>
      <c r="K22" s="15"/>
      <c r="L22" s="22" t="str">
        <f t="shared" si="1"/>
        <v/>
      </c>
      <c r="M22" s="23">
        <v>0</v>
      </c>
      <c r="N22" s="24" t="s">
        <v>89</v>
      </c>
      <c r="O22" s="22">
        <f ca="1" t="shared" si="2"/>
        <v>0</v>
      </c>
      <c r="P22" s="13" t="s">
        <v>115</v>
      </c>
    </row>
    <row r="23" ht="25.5" customHeight="1" spans="1:16">
      <c r="A23" s="4">
        <v>19</v>
      </c>
      <c r="B23" s="16" t="s">
        <v>116</v>
      </c>
      <c r="C23" s="13" t="s">
        <v>36</v>
      </c>
      <c r="D23" s="13" t="s">
        <v>117</v>
      </c>
      <c r="E23" s="13" t="s">
        <v>57</v>
      </c>
      <c r="F23" s="4" t="s">
        <v>113</v>
      </c>
      <c r="G23" s="14">
        <v>46283</v>
      </c>
      <c r="H23" s="14">
        <v>46283</v>
      </c>
      <c r="I23" s="22">
        <f t="shared" si="0"/>
        <v>1</v>
      </c>
      <c r="J23" s="15"/>
      <c r="K23" s="15"/>
      <c r="L23" s="22" t="str">
        <f t="shared" si="1"/>
        <v/>
      </c>
      <c r="M23" s="23">
        <v>0</v>
      </c>
      <c r="N23" s="24" t="s">
        <v>89</v>
      </c>
      <c r="O23" s="22">
        <f ca="1" t="shared" si="2"/>
        <v>0</v>
      </c>
      <c r="P23" s="13" t="s">
        <v>118</v>
      </c>
    </row>
    <row r="24" ht="25.5" customHeight="1" spans="1:16">
      <c r="A24" s="4">
        <v>20</v>
      </c>
      <c r="B24" s="16" t="s">
        <v>119</v>
      </c>
      <c r="C24" s="13" t="s">
        <v>36</v>
      </c>
      <c r="D24" s="13" t="s">
        <v>120</v>
      </c>
      <c r="E24" s="13" t="s">
        <v>63</v>
      </c>
      <c r="F24" s="4" t="s">
        <v>116</v>
      </c>
      <c r="G24" s="14">
        <v>46284</v>
      </c>
      <c r="H24" s="14">
        <v>46284</v>
      </c>
      <c r="I24" s="22">
        <f t="shared" si="0"/>
        <v>1</v>
      </c>
      <c r="J24" s="15"/>
      <c r="K24" s="15"/>
      <c r="L24" s="22" t="str">
        <f t="shared" si="1"/>
        <v/>
      </c>
      <c r="M24" s="23">
        <v>0</v>
      </c>
      <c r="N24" s="24" t="s">
        <v>89</v>
      </c>
      <c r="O24" s="22">
        <f ca="1" t="shared" si="2"/>
        <v>0</v>
      </c>
      <c r="P24" s="13" t="s">
        <v>121</v>
      </c>
    </row>
    <row r="26" spans="1:15">
      <c r="A26" s="17" t="s">
        <v>122</v>
      </c>
      <c r="C26" s="18"/>
      <c r="D26" s="19" t="s">
        <v>123</v>
      </c>
      <c r="E26" s="20"/>
      <c r="F26" s="19" t="s">
        <v>124</v>
      </c>
      <c r="H26" s="21"/>
      <c r="I26" s="19" t="s">
        <v>125</v>
      </c>
      <c r="K26" s="25"/>
      <c r="L26" s="19" t="s">
        <v>126</v>
      </c>
      <c r="N26" s="26"/>
      <c r="O26" s="19" t="s">
        <v>127</v>
      </c>
    </row>
    <row r="28" customHeight="1" spans="1:16">
      <c r="A28" s="12" t="s">
        <v>128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</sheetData>
  <mergeCells count="3">
    <mergeCell ref="A2:CI2"/>
    <mergeCell ref="A3:CI3"/>
    <mergeCell ref="A28:P29"/>
  </mergeCells>
  <conditionalFormatting sqref="Q4:CI4">
    <cfRule type="expression" dxfId="3" priority="7">
      <formula>Q$4=TODAY()</formula>
    </cfRule>
  </conditionalFormatting>
  <conditionalFormatting sqref="N5:N24">
    <cfRule type="expression" dxfId="0" priority="8">
      <formula>$N5="Closed"</formula>
    </cfRule>
    <cfRule type="expression" dxfId="2" priority="9">
      <formula>$N5="In Progress"</formula>
    </cfRule>
    <cfRule type="expression" dxfId="1" priority="10">
      <formula>$N5="Delayed"</formula>
    </cfRule>
    <cfRule type="expression" dxfId="4" priority="11">
      <formula>$N5="Not Started"</formula>
    </cfRule>
  </conditionalFormatting>
  <conditionalFormatting sqref="O5:O24">
    <cfRule type="expression" dxfId="5" priority="12">
      <formula>$O5&gt;0</formula>
    </cfRule>
  </conditionalFormatting>
  <conditionalFormatting sqref="Q5:CI24">
    <cfRule type="expression" dxfId="0" priority="2">
      <formula>AND($J5&lt;&gt;"",Q$4&gt;=$J5,Q$4&lt;=$K5)</formula>
    </cfRule>
    <cfRule type="expression" dxfId="1" priority="3">
      <formula>AND($N5&lt;&gt;"Closed",Q$4&gt;$H5,Q$4&lt;=TODAY())</formula>
    </cfRule>
    <cfRule type="expression" dxfId="6" priority="4">
      <formula>AND(Q$4&gt;=$G5,Q$4&lt;=$H5)</formula>
    </cfRule>
    <cfRule type="expression" dxfId="7" priority="5">
      <formula>WEEKDAY(Q$4,2)&gt;=6</formula>
    </cfRule>
    <cfRule type="expression" dxfId="8" priority="6">
      <formula>Q$4=TODAY()</formula>
    </cfRule>
  </conditionalFormatting>
  <dataValidations count="2">
    <dataValidation type="decimal" operator="between" allowBlank="1" sqref="M5:M24">
      <formula1>0</formula1>
      <formula2>1</formula2>
    </dataValidation>
    <dataValidation type="list" allowBlank="1" sqref="N5:N24">
      <formula1>"Not Started,In Progress,Closed,Delayed"</formula1>
    </dataValidation>
  </dataValidations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2:K19"/>
  <sheetViews>
    <sheetView showGridLines="0" workbookViewId="0">
      <pane ySplit="4" topLeftCell="A5" activePane="bottomLeft" state="frozen"/>
      <selection/>
      <selection pane="bottomLeft" activeCell="A4" sqref="A4:K4"/>
    </sheetView>
  </sheetViews>
  <sheetFormatPr defaultColWidth="8.67619047619048" defaultRowHeight="15"/>
  <cols>
    <col min="1" max="1" width="4" customWidth="1"/>
    <col min="2" max="2" width="32" customWidth="1"/>
    <col min="3" max="3" width="24" customWidth="1"/>
    <col min="4" max="4" width="6" customWidth="1"/>
    <col min="5" max="5" width="18" customWidth="1"/>
    <col min="6" max="8" width="14" customWidth="1"/>
    <col min="9" max="9" width="8" customWidth="1"/>
    <col min="10" max="10" width="14" customWidth="1"/>
    <col min="11" max="11" width="26" customWidth="1"/>
  </cols>
  <sheetData>
    <row r="2" ht="21.75" customHeight="1" spans="1:11">
      <c r="A2" s="1" t="s">
        <v>129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5.75" customHeight="1" spans="1:11">
      <c r="A3" s="2" t="s">
        <v>130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0" customHeight="1" spans="1:11">
      <c r="A4" s="3" t="s">
        <v>40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137</v>
      </c>
      <c r="I4" s="3" t="s">
        <v>138</v>
      </c>
      <c r="J4" s="3" t="s">
        <v>139</v>
      </c>
      <c r="K4" s="3" t="s">
        <v>54</v>
      </c>
    </row>
    <row r="5" ht="24" customHeight="1" spans="1:11">
      <c r="A5" s="4">
        <v>1</v>
      </c>
      <c r="B5" s="13" t="s">
        <v>140</v>
      </c>
      <c r="C5" s="13" t="s">
        <v>141</v>
      </c>
      <c r="D5" s="4" t="s">
        <v>142</v>
      </c>
      <c r="E5" s="13" t="s">
        <v>143</v>
      </c>
      <c r="F5" s="14">
        <v>46183</v>
      </c>
      <c r="G5" s="14">
        <v>46195</v>
      </c>
      <c r="H5" s="15"/>
      <c r="I5" s="9"/>
      <c r="J5" s="9" t="s">
        <v>144</v>
      </c>
      <c r="K5" s="13"/>
    </row>
    <row r="6" ht="24" customHeight="1" spans="1:11">
      <c r="A6" s="4">
        <v>2</v>
      </c>
      <c r="B6" s="13" t="s">
        <v>145</v>
      </c>
      <c r="C6" s="13" t="s">
        <v>146</v>
      </c>
      <c r="D6" s="4" t="s">
        <v>147</v>
      </c>
      <c r="E6" s="13" t="s">
        <v>148</v>
      </c>
      <c r="F6" s="14">
        <v>46183</v>
      </c>
      <c r="G6" s="14">
        <v>46195</v>
      </c>
      <c r="H6" s="15"/>
      <c r="I6" s="9"/>
      <c r="J6" s="9" t="s">
        <v>144</v>
      </c>
      <c r="K6" s="13"/>
    </row>
    <row r="7" ht="24" customHeight="1" spans="1:11">
      <c r="A7" s="4">
        <v>3</v>
      </c>
      <c r="B7" s="13" t="s">
        <v>149</v>
      </c>
      <c r="C7" s="13" t="s">
        <v>150</v>
      </c>
      <c r="D7" s="4" t="s">
        <v>151</v>
      </c>
      <c r="E7" s="13" t="s">
        <v>57</v>
      </c>
      <c r="F7" s="14">
        <v>46183</v>
      </c>
      <c r="G7" s="14">
        <v>46195</v>
      </c>
      <c r="H7" s="15"/>
      <c r="I7" s="9"/>
      <c r="J7" s="9" t="s">
        <v>144</v>
      </c>
      <c r="K7" s="13"/>
    </row>
    <row r="8" ht="24" customHeight="1" spans="1:11">
      <c r="A8" s="4">
        <v>4</v>
      </c>
      <c r="B8" s="13" t="s">
        <v>152</v>
      </c>
      <c r="C8" s="13" t="s">
        <v>150</v>
      </c>
      <c r="D8" s="4" t="s">
        <v>151</v>
      </c>
      <c r="E8" s="13" t="s">
        <v>57</v>
      </c>
      <c r="F8" s="14">
        <v>46183</v>
      </c>
      <c r="G8" s="14">
        <v>46195</v>
      </c>
      <c r="H8" s="15"/>
      <c r="I8" s="9"/>
      <c r="J8" s="9" t="s">
        <v>144</v>
      </c>
      <c r="K8" s="13"/>
    </row>
    <row r="9" ht="24" customHeight="1" spans="1:11">
      <c r="A9" s="4">
        <v>5</v>
      </c>
      <c r="B9" s="13" t="s">
        <v>153</v>
      </c>
      <c r="C9" s="13" t="s">
        <v>150</v>
      </c>
      <c r="D9" s="4" t="s">
        <v>151</v>
      </c>
      <c r="E9" s="13" t="s">
        <v>57</v>
      </c>
      <c r="F9" s="14">
        <v>46183</v>
      </c>
      <c r="G9" s="14">
        <v>46195</v>
      </c>
      <c r="H9" s="15"/>
      <c r="I9" s="9"/>
      <c r="J9" s="9" t="s">
        <v>144</v>
      </c>
      <c r="K9" s="13"/>
    </row>
    <row r="10" ht="24" customHeight="1" spans="1:11">
      <c r="A10" s="4">
        <v>6</v>
      </c>
      <c r="B10" s="13" t="s">
        <v>154</v>
      </c>
      <c r="C10" s="13" t="s">
        <v>150</v>
      </c>
      <c r="D10" s="4" t="s">
        <v>151</v>
      </c>
      <c r="E10" s="13" t="s">
        <v>57</v>
      </c>
      <c r="F10" s="14">
        <v>46183</v>
      </c>
      <c r="G10" s="14">
        <v>46195</v>
      </c>
      <c r="H10" s="15"/>
      <c r="I10" s="9"/>
      <c r="J10" s="9" t="s">
        <v>144</v>
      </c>
      <c r="K10" s="13"/>
    </row>
    <row r="11" ht="24" customHeight="1" spans="1:11">
      <c r="A11" s="4">
        <v>7</v>
      </c>
      <c r="B11" s="13" t="s">
        <v>155</v>
      </c>
      <c r="C11" s="13" t="s">
        <v>150</v>
      </c>
      <c r="D11" s="4" t="s">
        <v>151</v>
      </c>
      <c r="E11" s="13" t="s">
        <v>57</v>
      </c>
      <c r="F11" s="14">
        <v>46183</v>
      </c>
      <c r="G11" s="14">
        <v>46195</v>
      </c>
      <c r="H11" s="15"/>
      <c r="I11" s="9"/>
      <c r="J11" s="9" t="s">
        <v>144</v>
      </c>
      <c r="K11" s="13"/>
    </row>
    <row r="12" ht="24" customHeight="1" spans="1:11">
      <c r="A12" s="4">
        <v>8</v>
      </c>
      <c r="B12" s="13" t="s">
        <v>156</v>
      </c>
      <c r="C12" s="13" t="s">
        <v>150</v>
      </c>
      <c r="D12" s="4" t="s">
        <v>151</v>
      </c>
      <c r="E12" s="13" t="s">
        <v>57</v>
      </c>
      <c r="F12" s="14">
        <v>46183</v>
      </c>
      <c r="G12" s="14">
        <v>46195</v>
      </c>
      <c r="H12" s="15"/>
      <c r="I12" s="9"/>
      <c r="J12" s="9" t="s">
        <v>144</v>
      </c>
      <c r="K12" s="13"/>
    </row>
    <row r="13" ht="24" customHeight="1" spans="1:11">
      <c r="A13" s="4">
        <v>9</v>
      </c>
      <c r="B13" s="13" t="s">
        <v>157</v>
      </c>
      <c r="C13" s="13" t="s">
        <v>150</v>
      </c>
      <c r="D13" s="4" t="s">
        <v>158</v>
      </c>
      <c r="E13" s="13" t="s">
        <v>57</v>
      </c>
      <c r="F13" s="14">
        <v>46183</v>
      </c>
      <c r="G13" s="14">
        <v>46195</v>
      </c>
      <c r="H13" s="15"/>
      <c r="I13" s="9"/>
      <c r="J13" s="9" t="s">
        <v>144</v>
      </c>
      <c r="K13" s="13"/>
    </row>
    <row r="14" ht="24" customHeight="1" spans="1:11">
      <c r="A14" s="4">
        <v>10</v>
      </c>
      <c r="B14" s="13" t="s">
        <v>159</v>
      </c>
      <c r="C14" s="13" t="s">
        <v>160</v>
      </c>
      <c r="D14" s="4" t="s">
        <v>161</v>
      </c>
      <c r="E14" s="13" t="s">
        <v>57</v>
      </c>
      <c r="F14" s="14">
        <v>46183</v>
      </c>
      <c r="G14" s="14">
        <v>46195</v>
      </c>
      <c r="H14" s="15"/>
      <c r="I14" s="9"/>
      <c r="J14" s="9" t="s">
        <v>144</v>
      </c>
      <c r="K14" s="13"/>
    </row>
    <row r="15" ht="24" customHeight="1" spans="1:11">
      <c r="A15" s="4">
        <v>11</v>
      </c>
      <c r="B15" s="13" t="s">
        <v>162</v>
      </c>
      <c r="C15" s="13" t="s">
        <v>163</v>
      </c>
      <c r="D15" s="4" t="s">
        <v>164</v>
      </c>
      <c r="E15" s="13" t="s">
        <v>57</v>
      </c>
      <c r="F15" s="14">
        <v>46183</v>
      </c>
      <c r="G15" s="14">
        <v>46195</v>
      </c>
      <c r="H15" s="15"/>
      <c r="I15" s="9"/>
      <c r="J15" s="9" t="s">
        <v>144</v>
      </c>
      <c r="K15" s="13"/>
    </row>
    <row r="16" ht="24" customHeight="1" spans="1:11">
      <c r="A16" s="4">
        <v>12</v>
      </c>
      <c r="B16" s="13" t="s">
        <v>165</v>
      </c>
      <c r="C16" s="13" t="s">
        <v>163</v>
      </c>
      <c r="D16" s="4" t="s">
        <v>164</v>
      </c>
      <c r="E16" s="13" t="s">
        <v>57</v>
      </c>
      <c r="F16" s="14">
        <v>46183</v>
      </c>
      <c r="G16" s="14">
        <v>46195</v>
      </c>
      <c r="H16" s="15"/>
      <c r="I16" s="9"/>
      <c r="J16" s="9" t="s">
        <v>144</v>
      </c>
      <c r="K16" s="13"/>
    </row>
    <row r="18" customHeight="1" spans="1:11">
      <c r="A18" s="12" t="s">
        <v>166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</sheetData>
  <mergeCells count="3">
    <mergeCell ref="A2:K2"/>
    <mergeCell ref="A3:K3"/>
    <mergeCell ref="A18:K19"/>
  </mergeCells>
  <conditionalFormatting sqref="G5:G16">
    <cfRule type="expression" dxfId="1" priority="5">
      <formula>AND($J5="Pending",$G5&lt;TODAY())</formula>
    </cfRule>
  </conditionalFormatting>
  <conditionalFormatting sqref="J5:J16">
    <cfRule type="expression" dxfId="0" priority="2">
      <formula>$J5="Received - OK"</formula>
    </cfRule>
    <cfRule type="expression" dxfId="4" priority="3">
      <formula>$J5="Pending"</formula>
    </cfRule>
    <cfRule type="expression" dxfId="1" priority="4">
      <formula>OR($J5="Received - Shortage",$J5="Received - Damage")</formula>
    </cfRule>
  </conditionalFormatting>
  <dataValidations count="1">
    <dataValidation type="list" allowBlank="1" sqref="J5:J16">
      <formula1>"Pending,Received - OK,Received - Shortage,Received - Damage"</formula1>
    </dataValidation>
  </dataValidations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2:L85"/>
  <sheetViews>
    <sheetView showGridLines="0" workbookViewId="0">
      <pane ySplit="4" topLeftCell="A17" activePane="bottomLeft" state="frozen"/>
      <selection/>
      <selection pane="bottomLeft" activeCell="E23" sqref="E23"/>
    </sheetView>
  </sheetViews>
  <sheetFormatPr defaultColWidth="8.67619047619048" defaultRowHeight="15"/>
  <cols>
    <col min="1" max="1" width="5" customWidth="1"/>
    <col min="2" max="2" width="8" customWidth="1"/>
    <col min="3" max="3" width="11" customWidth="1"/>
    <col min="4" max="4" width="30" customWidth="1"/>
    <col min="5" max="5" width="20" customWidth="1"/>
    <col min="6" max="7" width="10" customWidth="1"/>
    <col min="8" max="8" width="30" customWidth="1"/>
    <col min="9" max="9" width="22" customWidth="1"/>
    <col min="10" max="11" width="14" customWidth="1"/>
    <col min="12" max="12" width="20" customWidth="1"/>
  </cols>
  <sheetData>
    <row r="2" ht="21.75" customHeight="1" spans="1:12">
      <c r="A2" s="1" t="s">
        <v>167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5.75" customHeight="1" spans="1:12">
      <c r="A3" s="2" t="s">
        <v>168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0" customHeight="1" spans="1:12">
      <c r="A4" s="3" t="s">
        <v>40</v>
      </c>
      <c r="B4" s="3" t="s">
        <v>169</v>
      </c>
      <c r="C4" s="3" t="s">
        <v>170</v>
      </c>
      <c r="D4" s="3" t="s">
        <v>171</v>
      </c>
      <c r="E4" s="3" t="s">
        <v>172</v>
      </c>
      <c r="F4" s="3" t="s">
        <v>173</v>
      </c>
      <c r="G4" s="3" t="s">
        <v>174</v>
      </c>
      <c r="H4" s="3" t="s">
        <v>175</v>
      </c>
      <c r="I4" s="3" t="s">
        <v>176</v>
      </c>
      <c r="J4" s="3" t="s">
        <v>177</v>
      </c>
      <c r="K4" s="3" t="s">
        <v>178</v>
      </c>
      <c r="L4" s="3" t="s">
        <v>179</v>
      </c>
    </row>
    <row r="5" ht="15.75" customHeight="1" spans="1:12">
      <c r="A5" s="4">
        <v>1</v>
      </c>
      <c r="B5" s="8">
        <v>46261</v>
      </c>
      <c r="C5" s="4" t="str">
        <f t="shared" ref="C5:C68" si="0">TEXT(B5,"ddd")</f>
        <v>Thu</v>
      </c>
      <c r="D5" s="7" t="s">
        <v>180</v>
      </c>
      <c r="E5" s="9" t="s">
        <v>58</v>
      </c>
      <c r="F5" s="6"/>
      <c r="G5" s="6"/>
      <c r="H5" s="7"/>
      <c r="I5" s="7"/>
      <c r="J5" s="7"/>
      <c r="K5" s="6"/>
      <c r="L5" s="6"/>
    </row>
    <row r="6" ht="15.75" customHeight="1" spans="1:12">
      <c r="A6" s="4">
        <v>2</v>
      </c>
      <c r="B6" s="8">
        <v>46262</v>
      </c>
      <c r="C6" s="4" t="str">
        <f t="shared" si="0"/>
        <v>Fri</v>
      </c>
      <c r="D6" s="10" t="s">
        <v>58</v>
      </c>
      <c r="E6" s="10" t="s">
        <v>58</v>
      </c>
      <c r="F6" s="6"/>
      <c r="G6" s="6"/>
      <c r="H6" s="7"/>
      <c r="I6" s="7"/>
      <c r="J6" s="7"/>
      <c r="K6" s="6"/>
      <c r="L6" s="6"/>
    </row>
    <row r="7" ht="15.75" customHeight="1" spans="1:12">
      <c r="A7" s="4">
        <v>3</v>
      </c>
      <c r="B7" s="8">
        <v>46263</v>
      </c>
      <c r="C7" s="4" t="str">
        <f t="shared" si="0"/>
        <v>Sat</v>
      </c>
      <c r="D7" s="10" t="s">
        <v>58</v>
      </c>
      <c r="E7" s="10" t="s">
        <v>58</v>
      </c>
      <c r="F7" s="6"/>
      <c r="G7" s="6"/>
      <c r="H7" s="7"/>
      <c r="I7" s="7"/>
      <c r="J7" s="7"/>
      <c r="K7" s="6"/>
      <c r="L7" s="6"/>
    </row>
    <row r="8" ht="15.75" customHeight="1" spans="1:12">
      <c r="A8" s="4">
        <v>4</v>
      </c>
      <c r="B8" s="8">
        <v>46264</v>
      </c>
      <c r="C8" s="4" t="str">
        <f t="shared" si="0"/>
        <v>Sun</v>
      </c>
      <c r="D8" s="10" t="s">
        <v>58</v>
      </c>
      <c r="E8" s="10" t="s">
        <v>58</v>
      </c>
      <c r="F8" s="6"/>
      <c r="G8" s="6"/>
      <c r="H8" s="7"/>
      <c r="I8" s="7"/>
      <c r="J8" s="7"/>
      <c r="K8" s="6"/>
      <c r="L8" s="6"/>
    </row>
    <row r="9" ht="15.75" customHeight="1" spans="1:12">
      <c r="A9" s="4">
        <v>5</v>
      </c>
      <c r="B9" s="8">
        <v>46265</v>
      </c>
      <c r="C9" s="4" t="str">
        <f t="shared" si="0"/>
        <v>Mon</v>
      </c>
      <c r="D9" s="10" t="s">
        <v>58</v>
      </c>
      <c r="E9" s="10" t="s">
        <v>58</v>
      </c>
      <c r="F9" s="6"/>
      <c r="G9" s="6"/>
      <c r="H9" s="7"/>
      <c r="I9" s="7"/>
      <c r="J9" s="7"/>
      <c r="K9" s="6"/>
      <c r="L9" s="6"/>
    </row>
    <row r="10" ht="15.75" customHeight="1" spans="1:12">
      <c r="A10" s="4">
        <v>6</v>
      </c>
      <c r="B10" s="8">
        <v>46266</v>
      </c>
      <c r="C10" s="4" t="str">
        <f t="shared" si="0"/>
        <v>Tue</v>
      </c>
      <c r="D10" s="10" t="s">
        <v>58</v>
      </c>
      <c r="E10" s="10" t="s">
        <v>58</v>
      </c>
      <c r="F10" s="6"/>
      <c r="G10" s="6"/>
      <c r="H10" s="7"/>
      <c r="I10" s="7"/>
      <c r="J10" s="7"/>
      <c r="K10" s="6"/>
      <c r="L10" s="6"/>
    </row>
    <row r="11" ht="15.75" customHeight="1" spans="1:12">
      <c r="A11" s="4">
        <v>7</v>
      </c>
      <c r="B11" s="8">
        <v>46267</v>
      </c>
      <c r="C11" s="4" t="str">
        <f t="shared" si="0"/>
        <v>Wed</v>
      </c>
      <c r="D11" s="7" t="s">
        <v>181</v>
      </c>
      <c r="E11" s="6" t="s">
        <v>182</v>
      </c>
      <c r="F11" s="6"/>
      <c r="G11" s="11">
        <v>1</v>
      </c>
      <c r="H11" s="7"/>
      <c r="I11" s="7"/>
      <c r="J11" s="7"/>
      <c r="K11" s="6"/>
      <c r="L11" s="6"/>
    </row>
    <row r="12" ht="15.75" customHeight="1" spans="1:12">
      <c r="A12" s="4">
        <v>8</v>
      </c>
      <c r="B12" s="8">
        <v>46268</v>
      </c>
      <c r="C12" s="4" t="str">
        <f t="shared" si="0"/>
        <v>Thu</v>
      </c>
      <c r="D12" s="7"/>
      <c r="E12" s="6"/>
      <c r="F12" s="6"/>
      <c r="G12" s="6"/>
      <c r="H12" s="7"/>
      <c r="I12" s="7"/>
      <c r="J12" s="7"/>
      <c r="K12" s="6"/>
      <c r="L12" s="6"/>
    </row>
    <row r="13" ht="15.75" customHeight="1" spans="1:12">
      <c r="A13" s="4">
        <v>9</v>
      </c>
      <c r="B13" s="8">
        <v>46269</v>
      </c>
      <c r="C13" s="4" t="str">
        <f t="shared" si="0"/>
        <v>Fri</v>
      </c>
      <c r="D13" s="7"/>
      <c r="E13" s="6"/>
      <c r="F13" s="6"/>
      <c r="G13" s="6"/>
      <c r="H13" s="7"/>
      <c r="I13" s="7"/>
      <c r="J13" s="7"/>
      <c r="K13" s="6"/>
      <c r="L13" s="6"/>
    </row>
    <row r="14" ht="15.75" customHeight="1" spans="1:12">
      <c r="A14" s="4">
        <v>10</v>
      </c>
      <c r="B14" s="8">
        <v>46270</v>
      </c>
      <c r="C14" s="4" t="str">
        <f t="shared" si="0"/>
        <v>Sat</v>
      </c>
      <c r="D14" s="7"/>
      <c r="E14" s="6"/>
      <c r="F14" s="6"/>
      <c r="G14" s="6"/>
      <c r="H14" s="7"/>
      <c r="I14" s="7"/>
      <c r="J14" s="7"/>
      <c r="K14" s="6"/>
      <c r="L14" s="6"/>
    </row>
    <row r="15" ht="15.75" customHeight="1" spans="1:12">
      <c r="A15" s="4">
        <v>11</v>
      </c>
      <c r="B15" s="8">
        <v>46271</v>
      </c>
      <c r="C15" s="4" t="str">
        <f t="shared" si="0"/>
        <v>Sun</v>
      </c>
      <c r="D15" s="7"/>
      <c r="E15" s="6"/>
      <c r="F15" s="6"/>
      <c r="G15" s="6"/>
      <c r="H15" s="7"/>
      <c r="I15" s="7"/>
      <c r="J15" s="7"/>
      <c r="K15" s="6"/>
      <c r="L15" s="6"/>
    </row>
    <row r="16" ht="15.75" customHeight="1" spans="1:12">
      <c r="A16" s="4">
        <v>12</v>
      </c>
      <c r="B16" s="8">
        <v>46272</v>
      </c>
      <c r="C16" s="4" t="str">
        <f t="shared" si="0"/>
        <v>Mon</v>
      </c>
      <c r="D16" s="7"/>
      <c r="E16" s="6"/>
      <c r="F16" s="6"/>
      <c r="G16" s="6"/>
      <c r="H16" s="7"/>
      <c r="I16" s="7"/>
      <c r="J16" s="7"/>
      <c r="K16" s="6"/>
      <c r="L16" s="6"/>
    </row>
    <row r="17" ht="15.75" customHeight="1" spans="1:12">
      <c r="A17" s="4">
        <v>13</v>
      </c>
      <c r="B17" s="8">
        <v>46273</v>
      </c>
      <c r="C17" s="4" t="str">
        <f t="shared" si="0"/>
        <v>Tue</v>
      </c>
      <c r="D17" s="7"/>
      <c r="E17" s="6"/>
      <c r="F17" s="6"/>
      <c r="G17" s="6"/>
      <c r="H17" s="7"/>
      <c r="I17" s="7"/>
      <c r="J17" s="7"/>
      <c r="K17" s="6"/>
      <c r="L17" s="6"/>
    </row>
    <row r="18" ht="15.75" customHeight="1" spans="1:12">
      <c r="A18" s="4">
        <v>14</v>
      </c>
      <c r="B18" s="8">
        <v>46274</v>
      </c>
      <c r="C18" s="4" t="str">
        <f t="shared" si="0"/>
        <v>Wed</v>
      </c>
      <c r="D18" s="7"/>
      <c r="E18" s="6"/>
      <c r="F18" s="6"/>
      <c r="G18" s="6"/>
      <c r="H18" s="7"/>
      <c r="I18" s="7"/>
      <c r="J18" s="7"/>
      <c r="K18" s="6"/>
      <c r="L18" s="6"/>
    </row>
    <row r="19" ht="15.75" customHeight="1" spans="1:12">
      <c r="A19" s="4">
        <v>15</v>
      </c>
      <c r="B19" s="8">
        <v>46275</v>
      </c>
      <c r="C19" s="4" t="str">
        <f t="shared" si="0"/>
        <v>Thu</v>
      </c>
      <c r="D19" s="7"/>
      <c r="E19" s="6"/>
      <c r="F19" s="6"/>
      <c r="G19" s="6"/>
      <c r="H19" s="7"/>
      <c r="I19" s="7"/>
      <c r="J19" s="7"/>
      <c r="K19" s="6"/>
      <c r="L19" s="6"/>
    </row>
    <row r="20" ht="15.75" customHeight="1" spans="1:12">
      <c r="A20" s="4">
        <v>16</v>
      </c>
      <c r="B20" s="8">
        <v>46276</v>
      </c>
      <c r="C20" s="4" t="str">
        <f t="shared" si="0"/>
        <v>Fri</v>
      </c>
      <c r="D20" s="7"/>
      <c r="E20" s="6"/>
      <c r="F20" s="6"/>
      <c r="G20" s="6"/>
      <c r="H20" s="7"/>
      <c r="I20" s="7"/>
      <c r="J20" s="7"/>
      <c r="K20" s="6"/>
      <c r="L20" s="6"/>
    </row>
    <row r="21" ht="15.75" customHeight="1" spans="1:12">
      <c r="A21" s="4">
        <v>17</v>
      </c>
      <c r="B21" s="8">
        <v>46277</v>
      </c>
      <c r="C21" s="4" t="str">
        <f t="shared" si="0"/>
        <v>Sat</v>
      </c>
      <c r="D21" s="7"/>
      <c r="E21" s="6"/>
      <c r="F21" s="6"/>
      <c r="G21" s="6"/>
      <c r="H21" s="7"/>
      <c r="I21" s="7"/>
      <c r="J21" s="7"/>
      <c r="K21" s="6"/>
      <c r="L21" s="6"/>
    </row>
    <row r="22" ht="15.75" customHeight="1" spans="1:12">
      <c r="A22" s="4">
        <v>18</v>
      </c>
      <c r="B22" s="8">
        <v>46278</v>
      </c>
      <c r="C22" s="4" t="str">
        <f t="shared" si="0"/>
        <v>Sun</v>
      </c>
      <c r="D22" s="7"/>
      <c r="E22" s="6"/>
      <c r="F22" s="6"/>
      <c r="G22" s="6"/>
      <c r="H22" s="7"/>
      <c r="I22" s="7"/>
      <c r="J22" s="7"/>
      <c r="K22" s="6"/>
      <c r="L22" s="6"/>
    </row>
    <row r="23" ht="15.75" customHeight="1" spans="1:12">
      <c r="A23" s="4">
        <v>19</v>
      </c>
      <c r="B23" s="8">
        <v>46279</v>
      </c>
      <c r="C23" s="4" t="str">
        <f t="shared" si="0"/>
        <v>Mon</v>
      </c>
      <c r="D23" s="7"/>
      <c r="E23" s="6"/>
      <c r="F23" s="6"/>
      <c r="G23" s="6"/>
      <c r="H23" s="7"/>
      <c r="I23" s="7"/>
      <c r="J23" s="7"/>
      <c r="K23" s="6"/>
      <c r="L23" s="6"/>
    </row>
    <row r="24" ht="15.75" customHeight="1" spans="1:12">
      <c r="A24" s="4">
        <v>20</v>
      </c>
      <c r="B24" s="8">
        <v>46280</v>
      </c>
      <c r="C24" s="4" t="str">
        <f t="shared" si="0"/>
        <v>Tue</v>
      </c>
      <c r="D24" s="7"/>
      <c r="E24" s="6"/>
      <c r="F24" s="6"/>
      <c r="G24" s="6"/>
      <c r="H24" s="7"/>
      <c r="I24" s="7"/>
      <c r="J24" s="7"/>
      <c r="K24" s="6"/>
      <c r="L24" s="6"/>
    </row>
    <row r="25" ht="15.75" customHeight="1" spans="1:12">
      <c r="A25" s="4">
        <v>21</v>
      </c>
      <c r="B25" s="8">
        <v>46281</v>
      </c>
      <c r="C25" s="4" t="str">
        <f t="shared" si="0"/>
        <v>Wed</v>
      </c>
      <c r="D25" s="7"/>
      <c r="E25" s="6"/>
      <c r="F25" s="6"/>
      <c r="G25" s="6"/>
      <c r="H25" s="7"/>
      <c r="I25" s="7"/>
      <c r="J25" s="7"/>
      <c r="K25" s="6"/>
      <c r="L25" s="6"/>
    </row>
    <row r="26" ht="15.75" customHeight="1" spans="1:12">
      <c r="A26" s="4">
        <v>22</v>
      </c>
      <c r="B26" s="8">
        <v>46282</v>
      </c>
      <c r="C26" s="4" t="str">
        <f t="shared" si="0"/>
        <v>Thu</v>
      </c>
      <c r="D26" s="7"/>
      <c r="E26" s="6"/>
      <c r="F26" s="6"/>
      <c r="G26" s="6"/>
      <c r="H26" s="7"/>
      <c r="I26" s="7"/>
      <c r="J26" s="7"/>
      <c r="K26" s="6"/>
      <c r="L26" s="6"/>
    </row>
    <row r="27" ht="15.75" customHeight="1" spans="1:12">
      <c r="A27" s="4">
        <v>23</v>
      </c>
      <c r="B27" s="8">
        <v>46283</v>
      </c>
      <c r="C27" s="4" t="str">
        <f t="shared" si="0"/>
        <v>Fri</v>
      </c>
      <c r="D27" s="7"/>
      <c r="E27" s="6"/>
      <c r="F27" s="6"/>
      <c r="G27" s="6"/>
      <c r="H27" s="7"/>
      <c r="I27" s="7"/>
      <c r="J27" s="7"/>
      <c r="K27" s="6"/>
      <c r="L27" s="6"/>
    </row>
    <row r="28" ht="15.75" customHeight="1" spans="1:12">
      <c r="A28" s="4">
        <v>24</v>
      </c>
      <c r="B28" s="8">
        <v>46284</v>
      </c>
      <c r="C28" s="4" t="str">
        <f t="shared" si="0"/>
        <v>Sat</v>
      </c>
      <c r="D28" s="7"/>
      <c r="E28" s="6"/>
      <c r="F28" s="6"/>
      <c r="G28" s="6"/>
      <c r="H28" s="7"/>
      <c r="I28" s="7"/>
      <c r="J28" s="7"/>
      <c r="K28" s="6"/>
      <c r="L28" s="6"/>
    </row>
    <row r="29" ht="15.75" customHeight="1" spans="1:12">
      <c r="A29" s="4">
        <v>25</v>
      </c>
      <c r="B29" s="8">
        <v>46285</v>
      </c>
      <c r="C29" s="4" t="str">
        <f t="shared" si="0"/>
        <v>Sun</v>
      </c>
      <c r="D29" s="7"/>
      <c r="E29" s="6"/>
      <c r="F29" s="6"/>
      <c r="G29" s="6"/>
      <c r="H29" s="7"/>
      <c r="I29" s="7"/>
      <c r="J29" s="7"/>
      <c r="K29" s="6"/>
      <c r="L29" s="6"/>
    </row>
    <row r="30" ht="15.75" customHeight="1" spans="1:12">
      <c r="A30" s="4">
        <v>26</v>
      </c>
      <c r="B30" s="8">
        <v>46286</v>
      </c>
      <c r="C30" s="4" t="str">
        <f t="shared" si="0"/>
        <v>Mon</v>
      </c>
      <c r="D30" s="7"/>
      <c r="E30" s="6"/>
      <c r="F30" s="6"/>
      <c r="G30" s="6"/>
      <c r="H30" s="7"/>
      <c r="I30" s="7"/>
      <c r="J30" s="7"/>
      <c r="K30" s="6"/>
      <c r="L30" s="6"/>
    </row>
    <row r="31" ht="15.75" customHeight="1" spans="1:12">
      <c r="A31" s="4">
        <v>27</v>
      </c>
      <c r="B31" s="8">
        <v>46287</v>
      </c>
      <c r="C31" s="4" t="str">
        <f t="shared" si="0"/>
        <v>Tue</v>
      </c>
      <c r="D31" s="7"/>
      <c r="E31" s="6"/>
      <c r="F31" s="6"/>
      <c r="G31" s="6"/>
      <c r="H31" s="7"/>
      <c r="I31" s="7"/>
      <c r="J31" s="7"/>
      <c r="K31" s="6"/>
      <c r="L31" s="6"/>
    </row>
    <row r="32" ht="15.75" customHeight="1" spans="1:12">
      <c r="A32" s="4">
        <v>28</v>
      </c>
      <c r="B32" s="8">
        <v>46288</v>
      </c>
      <c r="C32" s="4" t="str">
        <f t="shared" si="0"/>
        <v>Wed</v>
      </c>
      <c r="D32" s="7"/>
      <c r="E32" s="6"/>
      <c r="F32" s="6"/>
      <c r="G32" s="6"/>
      <c r="H32" s="7"/>
      <c r="I32" s="7"/>
      <c r="J32" s="7"/>
      <c r="K32" s="6"/>
      <c r="L32" s="6"/>
    </row>
    <row r="33" ht="15.75" customHeight="1" spans="1:12">
      <c r="A33" s="4">
        <v>29</v>
      </c>
      <c r="B33" s="8">
        <v>46289</v>
      </c>
      <c r="C33" s="4" t="str">
        <f t="shared" si="0"/>
        <v>Thu</v>
      </c>
      <c r="D33" s="7"/>
      <c r="E33" s="6"/>
      <c r="F33" s="6"/>
      <c r="G33" s="6"/>
      <c r="H33" s="7"/>
      <c r="I33" s="7"/>
      <c r="J33" s="7"/>
      <c r="K33" s="6"/>
      <c r="L33" s="6"/>
    </row>
    <row r="34" ht="15.75" customHeight="1" spans="1:12">
      <c r="A34" s="4">
        <v>30</v>
      </c>
      <c r="B34" s="8">
        <v>46290</v>
      </c>
      <c r="C34" s="4" t="str">
        <f t="shared" si="0"/>
        <v>Fri</v>
      </c>
      <c r="D34" s="7"/>
      <c r="E34" s="6"/>
      <c r="F34" s="6"/>
      <c r="G34" s="6"/>
      <c r="H34" s="7"/>
      <c r="I34" s="7"/>
      <c r="J34" s="7"/>
      <c r="K34" s="6"/>
      <c r="L34" s="6"/>
    </row>
    <row r="35" ht="15.75" customHeight="1" spans="1:12">
      <c r="A35" s="4">
        <v>31</v>
      </c>
      <c r="B35" s="8">
        <v>46291</v>
      </c>
      <c r="C35" s="4" t="str">
        <f t="shared" si="0"/>
        <v>Sat</v>
      </c>
      <c r="D35" s="7"/>
      <c r="E35" s="6"/>
      <c r="F35" s="6"/>
      <c r="G35" s="6"/>
      <c r="H35" s="7"/>
      <c r="I35" s="7"/>
      <c r="J35" s="7"/>
      <c r="K35" s="6"/>
      <c r="L35" s="6"/>
    </row>
    <row r="36" ht="15.75" customHeight="1" spans="1:12">
      <c r="A36" s="4">
        <v>32</v>
      </c>
      <c r="B36" s="8">
        <v>46292</v>
      </c>
      <c r="C36" s="4" t="str">
        <f t="shared" si="0"/>
        <v>Sun</v>
      </c>
      <c r="D36" s="7"/>
      <c r="E36" s="6"/>
      <c r="F36" s="6"/>
      <c r="G36" s="6"/>
      <c r="H36" s="7"/>
      <c r="I36" s="7"/>
      <c r="J36" s="7"/>
      <c r="K36" s="6"/>
      <c r="L36" s="6"/>
    </row>
    <row r="37" ht="15.75" customHeight="1" spans="1:12">
      <c r="A37" s="4">
        <v>33</v>
      </c>
      <c r="B37" s="8">
        <v>46293</v>
      </c>
      <c r="C37" s="4" t="str">
        <f t="shared" si="0"/>
        <v>Mon</v>
      </c>
      <c r="D37" s="7"/>
      <c r="E37" s="6"/>
      <c r="F37" s="6"/>
      <c r="G37" s="6"/>
      <c r="H37" s="7"/>
      <c r="I37" s="7"/>
      <c r="J37" s="7"/>
      <c r="K37" s="6"/>
      <c r="L37" s="6"/>
    </row>
    <row r="38" ht="15.75" customHeight="1" spans="1:12">
      <c r="A38" s="4">
        <v>34</v>
      </c>
      <c r="B38" s="8">
        <v>46294</v>
      </c>
      <c r="C38" s="4" t="str">
        <f t="shared" si="0"/>
        <v>Tue</v>
      </c>
      <c r="D38" s="7"/>
      <c r="E38" s="6"/>
      <c r="F38" s="6"/>
      <c r="G38" s="6"/>
      <c r="H38" s="7"/>
      <c r="I38" s="7"/>
      <c r="J38" s="7"/>
      <c r="K38" s="6"/>
      <c r="L38" s="6"/>
    </row>
    <row r="39" ht="15.75" customHeight="1" spans="1:12">
      <c r="A39" s="4">
        <v>35</v>
      </c>
      <c r="B39" s="8">
        <v>46295</v>
      </c>
      <c r="C39" s="4" t="str">
        <f t="shared" si="0"/>
        <v>Wed</v>
      </c>
      <c r="D39" s="7"/>
      <c r="E39" s="6"/>
      <c r="F39" s="6"/>
      <c r="G39" s="6"/>
      <c r="H39" s="7"/>
      <c r="I39" s="7"/>
      <c r="J39" s="7"/>
      <c r="K39" s="6"/>
      <c r="L39" s="6"/>
    </row>
    <row r="40" ht="15.75" customHeight="1" spans="1:12">
      <c r="A40" s="4">
        <v>36</v>
      </c>
      <c r="B40" s="8">
        <v>46296</v>
      </c>
      <c r="C40" s="4" t="str">
        <f t="shared" si="0"/>
        <v>Thu</v>
      </c>
      <c r="D40" s="7"/>
      <c r="E40" s="6"/>
      <c r="F40" s="6"/>
      <c r="G40" s="6"/>
      <c r="H40" s="7"/>
      <c r="I40" s="7"/>
      <c r="J40" s="7"/>
      <c r="K40" s="6"/>
      <c r="L40" s="6"/>
    </row>
    <row r="41" ht="15.75" customHeight="1" spans="1:12">
      <c r="A41" s="4">
        <v>37</v>
      </c>
      <c r="B41" s="8">
        <v>46297</v>
      </c>
      <c r="C41" s="4" t="str">
        <f t="shared" si="0"/>
        <v>Fri</v>
      </c>
      <c r="D41" s="7"/>
      <c r="E41" s="6"/>
      <c r="F41" s="6"/>
      <c r="G41" s="6"/>
      <c r="H41" s="7"/>
      <c r="I41" s="7"/>
      <c r="J41" s="7"/>
      <c r="K41" s="6"/>
      <c r="L41" s="6"/>
    </row>
    <row r="42" ht="15.75" customHeight="1" spans="1:12">
      <c r="A42" s="4">
        <v>38</v>
      </c>
      <c r="B42" s="8">
        <v>46298</v>
      </c>
      <c r="C42" s="4" t="str">
        <f t="shared" si="0"/>
        <v>Sat</v>
      </c>
      <c r="D42" s="7"/>
      <c r="E42" s="6"/>
      <c r="F42" s="6"/>
      <c r="G42" s="6"/>
      <c r="H42" s="7"/>
      <c r="I42" s="7"/>
      <c r="J42" s="7"/>
      <c r="K42" s="6"/>
      <c r="L42" s="6"/>
    </row>
    <row r="43" ht="15.75" customHeight="1" spans="1:12">
      <c r="A43" s="4">
        <v>39</v>
      </c>
      <c r="B43" s="8">
        <v>46299</v>
      </c>
      <c r="C43" s="4" t="str">
        <f t="shared" si="0"/>
        <v>Sun</v>
      </c>
      <c r="D43" s="7"/>
      <c r="E43" s="6"/>
      <c r="F43" s="6"/>
      <c r="G43" s="6"/>
      <c r="H43" s="7"/>
      <c r="I43" s="7"/>
      <c r="J43" s="7"/>
      <c r="K43" s="6"/>
      <c r="L43" s="6"/>
    </row>
    <row r="44" ht="15.75" customHeight="1" spans="1:12">
      <c r="A44" s="4">
        <v>40</v>
      </c>
      <c r="B44" s="8">
        <v>46300</v>
      </c>
      <c r="C44" s="4" t="str">
        <f t="shared" si="0"/>
        <v>Mon</v>
      </c>
      <c r="D44" s="7"/>
      <c r="E44" s="6"/>
      <c r="F44" s="6"/>
      <c r="G44" s="6"/>
      <c r="H44" s="7"/>
      <c r="I44" s="7"/>
      <c r="J44" s="7"/>
      <c r="K44" s="6"/>
      <c r="L44" s="6"/>
    </row>
    <row r="45" ht="15.75" customHeight="1" spans="1:12">
      <c r="A45" s="4">
        <v>41</v>
      </c>
      <c r="B45" s="8">
        <v>46301</v>
      </c>
      <c r="C45" s="4" t="str">
        <f t="shared" si="0"/>
        <v>Tue</v>
      </c>
      <c r="D45" s="7"/>
      <c r="E45" s="6"/>
      <c r="F45" s="6"/>
      <c r="G45" s="6"/>
      <c r="H45" s="7"/>
      <c r="I45" s="7"/>
      <c r="J45" s="7"/>
      <c r="K45" s="6"/>
      <c r="L45" s="6"/>
    </row>
    <row r="46" ht="15.75" customHeight="1" spans="1:12">
      <c r="A46" s="4">
        <v>42</v>
      </c>
      <c r="B46" s="8">
        <v>46302</v>
      </c>
      <c r="C46" s="4" t="str">
        <f t="shared" si="0"/>
        <v>Wed</v>
      </c>
      <c r="D46" s="7"/>
      <c r="E46" s="6"/>
      <c r="F46" s="6"/>
      <c r="G46" s="6"/>
      <c r="H46" s="7"/>
      <c r="I46" s="7"/>
      <c r="J46" s="7"/>
      <c r="K46" s="6"/>
      <c r="L46" s="6"/>
    </row>
    <row r="47" ht="15.75" customHeight="1" spans="1:12">
      <c r="A47" s="4">
        <v>43</v>
      </c>
      <c r="B47" s="8">
        <v>46303</v>
      </c>
      <c r="C47" s="4" t="str">
        <f t="shared" si="0"/>
        <v>Thu</v>
      </c>
      <c r="D47" s="7"/>
      <c r="E47" s="6"/>
      <c r="F47" s="6"/>
      <c r="G47" s="6"/>
      <c r="H47" s="7"/>
      <c r="I47" s="7"/>
      <c r="J47" s="7"/>
      <c r="K47" s="6"/>
      <c r="L47" s="6"/>
    </row>
    <row r="48" ht="15.75" customHeight="1" spans="1:12">
      <c r="A48" s="4">
        <v>44</v>
      </c>
      <c r="B48" s="8">
        <v>46304</v>
      </c>
      <c r="C48" s="4" t="str">
        <f t="shared" si="0"/>
        <v>Fri</v>
      </c>
      <c r="D48" s="7"/>
      <c r="E48" s="6"/>
      <c r="F48" s="6"/>
      <c r="G48" s="6"/>
      <c r="H48" s="7"/>
      <c r="I48" s="7"/>
      <c r="J48" s="7"/>
      <c r="K48" s="6"/>
      <c r="L48" s="6"/>
    </row>
    <row r="49" ht="15.75" customHeight="1" spans="1:12">
      <c r="A49" s="4">
        <v>45</v>
      </c>
      <c r="B49" s="8">
        <v>46305</v>
      </c>
      <c r="C49" s="4" t="str">
        <f t="shared" si="0"/>
        <v>Sat</v>
      </c>
      <c r="D49" s="7"/>
      <c r="E49" s="6"/>
      <c r="F49" s="6"/>
      <c r="G49" s="6"/>
      <c r="H49" s="7"/>
      <c r="I49" s="7"/>
      <c r="J49" s="7"/>
      <c r="K49" s="6"/>
      <c r="L49" s="6"/>
    </row>
    <row r="50" ht="15.75" customHeight="1" spans="1:12">
      <c r="A50" s="4">
        <v>46</v>
      </c>
      <c r="B50" s="8">
        <v>46306</v>
      </c>
      <c r="C50" s="4" t="str">
        <f t="shared" si="0"/>
        <v>Sun</v>
      </c>
      <c r="D50" s="7"/>
      <c r="E50" s="6"/>
      <c r="F50" s="6"/>
      <c r="G50" s="6"/>
      <c r="H50" s="7"/>
      <c r="I50" s="7"/>
      <c r="J50" s="7"/>
      <c r="K50" s="6"/>
      <c r="L50" s="6"/>
    </row>
    <row r="51" ht="15.75" customHeight="1" spans="1:12">
      <c r="A51" s="4">
        <v>47</v>
      </c>
      <c r="B51" s="8">
        <v>46307</v>
      </c>
      <c r="C51" s="4" t="str">
        <f t="shared" si="0"/>
        <v>Mon</v>
      </c>
      <c r="D51" s="7"/>
      <c r="E51" s="6"/>
      <c r="F51" s="6"/>
      <c r="G51" s="6"/>
      <c r="H51" s="7"/>
      <c r="I51" s="7"/>
      <c r="J51" s="7"/>
      <c r="K51" s="6"/>
      <c r="L51" s="6"/>
    </row>
    <row r="52" ht="15.75" customHeight="1" spans="1:12">
      <c r="A52" s="4">
        <v>48</v>
      </c>
      <c r="B52" s="8">
        <v>46308</v>
      </c>
      <c r="C52" s="4" t="str">
        <f t="shared" si="0"/>
        <v>Tue</v>
      </c>
      <c r="D52" s="7"/>
      <c r="E52" s="6"/>
      <c r="F52" s="6"/>
      <c r="G52" s="6"/>
      <c r="H52" s="7"/>
      <c r="I52" s="7"/>
      <c r="J52" s="7"/>
      <c r="K52" s="6"/>
      <c r="L52" s="6"/>
    </row>
    <row r="53" ht="15.75" customHeight="1" spans="1:12">
      <c r="A53" s="4">
        <v>49</v>
      </c>
      <c r="B53" s="8">
        <v>46309</v>
      </c>
      <c r="C53" s="4" t="str">
        <f t="shared" si="0"/>
        <v>Wed</v>
      </c>
      <c r="D53" s="7"/>
      <c r="E53" s="6"/>
      <c r="F53" s="6"/>
      <c r="G53" s="6"/>
      <c r="H53" s="7"/>
      <c r="I53" s="7"/>
      <c r="J53" s="7"/>
      <c r="K53" s="6"/>
      <c r="L53" s="6"/>
    </row>
    <row r="54" ht="15.75" customHeight="1" spans="1:12">
      <c r="A54" s="4">
        <v>50</v>
      </c>
      <c r="B54" s="8">
        <v>46310</v>
      </c>
      <c r="C54" s="4" t="str">
        <f t="shared" si="0"/>
        <v>Thu</v>
      </c>
      <c r="D54" s="7"/>
      <c r="E54" s="6"/>
      <c r="F54" s="6"/>
      <c r="G54" s="6"/>
      <c r="H54" s="7"/>
      <c r="I54" s="7"/>
      <c r="J54" s="7"/>
      <c r="K54" s="6"/>
      <c r="L54" s="6"/>
    </row>
    <row r="55" ht="15.75" customHeight="1" spans="1:12">
      <c r="A55" s="4">
        <v>51</v>
      </c>
      <c r="B55" s="8">
        <v>46311</v>
      </c>
      <c r="C55" s="4" t="str">
        <f t="shared" si="0"/>
        <v>Fri</v>
      </c>
      <c r="D55" s="7"/>
      <c r="E55" s="6"/>
      <c r="F55" s="6"/>
      <c r="G55" s="6"/>
      <c r="H55" s="7"/>
      <c r="I55" s="7"/>
      <c r="J55" s="7"/>
      <c r="K55" s="6"/>
      <c r="L55" s="6"/>
    </row>
    <row r="56" ht="15.75" customHeight="1" spans="1:12">
      <c r="A56" s="4">
        <v>52</v>
      </c>
      <c r="B56" s="8">
        <v>46312</v>
      </c>
      <c r="C56" s="4" t="str">
        <f t="shared" si="0"/>
        <v>Sat</v>
      </c>
      <c r="D56" s="7"/>
      <c r="E56" s="6"/>
      <c r="F56" s="6"/>
      <c r="G56" s="6"/>
      <c r="H56" s="7"/>
      <c r="I56" s="7"/>
      <c r="J56" s="7"/>
      <c r="K56" s="6"/>
      <c r="L56" s="6"/>
    </row>
    <row r="57" ht="15.75" customHeight="1" spans="1:12">
      <c r="A57" s="4">
        <v>53</v>
      </c>
      <c r="B57" s="8">
        <v>46313</v>
      </c>
      <c r="C57" s="4" t="str">
        <f t="shared" si="0"/>
        <v>Sun</v>
      </c>
      <c r="D57" s="7"/>
      <c r="E57" s="6"/>
      <c r="F57" s="6"/>
      <c r="G57" s="6"/>
      <c r="H57" s="7"/>
      <c r="I57" s="7"/>
      <c r="J57" s="7"/>
      <c r="K57" s="6"/>
      <c r="L57" s="6"/>
    </row>
    <row r="58" ht="15.75" customHeight="1" spans="1:12">
      <c r="A58" s="4">
        <v>54</v>
      </c>
      <c r="B58" s="8">
        <v>46314</v>
      </c>
      <c r="C58" s="4" t="str">
        <f t="shared" si="0"/>
        <v>Mon</v>
      </c>
      <c r="D58" s="7"/>
      <c r="E58" s="6"/>
      <c r="F58" s="6"/>
      <c r="G58" s="6"/>
      <c r="H58" s="7"/>
      <c r="I58" s="7"/>
      <c r="J58" s="7"/>
      <c r="K58" s="6"/>
      <c r="L58" s="6"/>
    </row>
    <row r="59" ht="15.75" customHeight="1" spans="1:12">
      <c r="A59" s="4">
        <v>55</v>
      </c>
      <c r="B59" s="8">
        <v>46315</v>
      </c>
      <c r="C59" s="4" t="str">
        <f t="shared" si="0"/>
        <v>Tue</v>
      </c>
      <c r="D59" s="7"/>
      <c r="E59" s="6"/>
      <c r="F59" s="6"/>
      <c r="G59" s="6"/>
      <c r="H59" s="7"/>
      <c r="I59" s="7"/>
      <c r="J59" s="7"/>
      <c r="K59" s="6"/>
      <c r="L59" s="6"/>
    </row>
    <row r="60" ht="15.75" customHeight="1" spans="1:12">
      <c r="A60" s="4">
        <v>56</v>
      </c>
      <c r="B60" s="8">
        <v>46316</v>
      </c>
      <c r="C60" s="4" t="str">
        <f t="shared" si="0"/>
        <v>Wed</v>
      </c>
      <c r="D60" s="7"/>
      <c r="E60" s="6"/>
      <c r="F60" s="6"/>
      <c r="G60" s="6"/>
      <c r="H60" s="7"/>
      <c r="I60" s="7"/>
      <c r="J60" s="7"/>
      <c r="K60" s="6"/>
      <c r="L60" s="6"/>
    </row>
    <row r="61" ht="15.75" customHeight="1" spans="1:12">
      <c r="A61" s="4">
        <v>57</v>
      </c>
      <c r="B61" s="8">
        <v>46317</v>
      </c>
      <c r="C61" s="4" t="str">
        <f t="shared" si="0"/>
        <v>Thu</v>
      </c>
      <c r="D61" s="7"/>
      <c r="E61" s="6"/>
      <c r="F61" s="6"/>
      <c r="G61" s="6"/>
      <c r="H61" s="7"/>
      <c r="I61" s="7"/>
      <c r="J61" s="7"/>
      <c r="K61" s="6"/>
      <c r="L61" s="6"/>
    </row>
    <row r="62" ht="15.75" customHeight="1" spans="1:12">
      <c r="A62" s="4">
        <v>58</v>
      </c>
      <c r="B62" s="8">
        <v>46318</v>
      </c>
      <c r="C62" s="4" t="str">
        <f t="shared" si="0"/>
        <v>Fri</v>
      </c>
      <c r="D62" s="7"/>
      <c r="E62" s="6"/>
      <c r="F62" s="6"/>
      <c r="G62" s="6"/>
      <c r="H62" s="7"/>
      <c r="I62" s="7"/>
      <c r="J62" s="7"/>
      <c r="K62" s="6"/>
      <c r="L62" s="6"/>
    </row>
    <row r="63" ht="15.75" customHeight="1" spans="1:12">
      <c r="A63" s="4">
        <v>59</v>
      </c>
      <c r="B63" s="8">
        <v>46319</v>
      </c>
      <c r="C63" s="4" t="str">
        <f t="shared" si="0"/>
        <v>Sat</v>
      </c>
      <c r="D63" s="7"/>
      <c r="E63" s="6"/>
      <c r="F63" s="6"/>
      <c r="G63" s="6"/>
      <c r="H63" s="7"/>
      <c r="I63" s="7"/>
      <c r="J63" s="7"/>
      <c r="K63" s="6"/>
      <c r="L63" s="6"/>
    </row>
    <row r="64" ht="15.75" customHeight="1" spans="1:12">
      <c r="A64" s="4">
        <v>60</v>
      </c>
      <c r="B64" s="8">
        <v>46320</v>
      </c>
      <c r="C64" s="4" t="str">
        <f t="shared" si="0"/>
        <v>Sun</v>
      </c>
      <c r="D64" s="7"/>
      <c r="E64" s="6"/>
      <c r="F64" s="6"/>
      <c r="G64" s="6"/>
      <c r="H64" s="7"/>
      <c r="I64" s="7"/>
      <c r="J64" s="7"/>
      <c r="K64" s="6"/>
      <c r="L64" s="6"/>
    </row>
    <row r="65" ht="15.75" customHeight="1" spans="1:12">
      <c r="A65" s="4">
        <v>61</v>
      </c>
      <c r="B65" s="8">
        <v>46321</v>
      </c>
      <c r="C65" s="4" t="str">
        <f t="shared" si="0"/>
        <v>Mon</v>
      </c>
      <c r="D65" s="7"/>
      <c r="E65" s="6"/>
      <c r="F65" s="6"/>
      <c r="G65" s="6"/>
      <c r="H65" s="7"/>
      <c r="I65" s="7"/>
      <c r="J65" s="7"/>
      <c r="K65" s="6"/>
      <c r="L65" s="6"/>
    </row>
    <row r="66" ht="15.75" customHeight="1" spans="1:12">
      <c r="A66" s="4">
        <v>62</v>
      </c>
      <c r="B66" s="8">
        <v>46322</v>
      </c>
      <c r="C66" s="4" t="str">
        <f t="shared" si="0"/>
        <v>Tue</v>
      </c>
      <c r="D66" s="7"/>
      <c r="E66" s="6"/>
      <c r="F66" s="6"/>
      <c r="G66" s="6"/>
      <c r="H66" s="7"/>
      <c r="I66" s="7"/>
      <c r="J66" s="7"/>
      <c r="K66" s="6"/>
      <c r="L66" s="6"/>
    </row>
    <row r="67" ht="15.75" customHeight="1" spans="1:12">
      <c r="A67" s="4">
        <v>63</v>
      </c>
      <c r="B67" s="8">
        <v>46323</v>
      </c>
      <c r="C67" s="4" t="str">
        <f t="shared" si="0"/>
        <v>Wed</v>
      </c>
      <c r="D67" s="7"/>
      <c r="E67" s="6"/>
      <c r="F67" s="6"/>
      <c r="G67" s="6"/>
      <c r="H67" s="7"/>
      <c r="I67" s="7"/>
      <c r="J67" s="7"/>
      <c r="K67" s="6"/>
      <c r="L67" s="6"/>
    </row>
    <row r="68" ht="15.75" customHeight="1" spans="1:12">
      <c r="A68" s="4">
        <v>64</v>
      </c>
      <c r="B68" s="8">
        <v>46324</v>
      </c>
      <c r="C68" s="4" t="str">
        <f t="shared" si="0"/>
        <v>Thu</v>
      </c>
      <c r="D68" s="7"/>
      <c r="E68" s="6"/>
      <c r="F68" s="6"/>
      <c r="G68" s="6"/>
      <c r="H68" s="7"/>
      <c r="I68" s="7"/>
      <c r="J68" s="7"/>
      <c r="K68" s="6"/>
      <c r="L68" s="6"/>
    </row>
    <row r="69" ht="15.75" customHeight="1" spans="1:12">
      <c r="A69" s="4">
        <v>65</v>
      </c>
      <c r="B69" s="8">
        <v>46325</v>
      </c>
      <c r="C69" s="4" t="str">
        <f t="shared" ref="C69:C82" si="1">TEXT(B69,"ddd")</f>
        <v>Fri</v>
      </c>
      <c r="D69" s="7"/>
      <c r="E69" s="6"/>
      <c r="F69" s="6"/>
      <c r="G69" s="6"/>
      <c r="H69" s="7"/>
      <c r="I69" s="7"/>
      <c r="J69" s="7"/>
      <c r="K69" s="6"/>
      <c r="L69" s="6"/>
    </row>
    <row r="70" ht="15.75" customHeight="1" spans="1:12">
      <c r="A70" s="4">
        <v>66</v>
      </c>
      <c r="B70" s="8">
        <v>46326</v>
      </c>
      <c r="C70" s="4" t="str">
        <f t="shared" si="1"/>
        <v>Sat</v>
      </c>
      <c r="D70" s="7"/>
      <c r="E70" s="6"/>
      <c r="F70" s="6"/>
      <c r="G70" s="6"/>
      <c r="H70" s="7"/>
      <c r="I70" s="7"/>
      <c r="J70" s="7"/>
      <c r="K70" s="6"/>
      <c r="L70" s="6"/>
    </row>
    <row r="71" ht="15.75" customHeight="1" spans="1:12">
      <c r="A71" s="4">
        <v>67</v>
      </c>
      <c r="B71" s="8">
        <v>46327</v>
      </c>
      <c r="C71" s="4" t="str">
        <f t="shared" si="1"/>
        <v>Sun</v>
      </c>
      <c r="D71" s="7"/>
      <c r="E71" s="6"/>
      <c r="F71" s="6"/>
      <c r="G71" s="6"/>
      <c r="H71" s="7"/>
      <c r="I71" s="7"/>
      <c r="J71" s="7"/>
      <c r="K71" s="6"/>
      <c r="L71" s="6"/>
    </row>
    <row r="72" ht="15.75" customHeight="1" spans="1:12">
      <c r="A72" s="4">
        <v>68</v>
      </c>
      <c r="B72" s="8">
        <v>46328</v>
      </c>
      <c r="C72" s="4" t="str">
        <f t="shared" si="1"/>
        <v>Mon</v>
      </c>
      <c r="D72" s="7"/>
      <c r="E72" s="6"/>
      <c r="F72" s="6"/>
      <c r="G72" s="6"/>
      <c r="H72" s="7"/>
      <c r="I72" s="7"/>
      <c r="J72" s="7"/>
      <c r="K72" s="6"/>
      <c r="L72" s="6"/>
    </row>
    <row r="73" ht="15.75" customHeight="1" spans="1:12">
      <c r="A73" s="4">
        <v>69</v>
      </c>
      <c r="B73" s="8">
        <v>46329</v>
      </c>
      <c r="C73" s="4" t="str">
        <f t="shared" si="1"/>
        <v>Tue</v>
      </c>
      <c r="D73" s="7"/>
      <c r="E73" s="6"/>
      <c r="F73" s="6"/>
      <c r="G73" s="6"/>
      <c r="H73" s="7"/>
      <c r="I73" s="7"/>
      <c r="J73" s="7"/>
      <c r="K73" s="6"/>
      <c r="L73" s="6"/>
    </row>
    <row r="74" ht="15.75" customHeight="1" spans="1:12">
      <c r="A74" s="4">
        <v>70</v>
      </c>
      <c r="B74" s="8">
        <v>46330</v>
      </c>
      <c r="C74" s="4" t="str">
        <f t="shared" si="1"/>
        <v>Wed</v>
      </c>
      <c r="D74" s="7"/>
      <c r="E74" s="6"/>
      <c r="F74" s="6"/>
      <c r="G74" s="6"/>
      <c r="H74" s="7"/>
      <c r="I74" s="7"/>
      <c r="J74" s="7"/>
      <c r="K74" s="6"/>
      <c r="L74" s="6"/>
    </row>
    <row r="75" ht="15.75" customHeight="1" spans="1:12">
      <c r="A75" s="4">
        <v>71</v>
      </c>
      <c r="B75" s="8">
        <v>46331</v>
      </c>
      <c r="C75" s="4" t="str">
        <f t="shared" si="1"/>
        <v>Thu</v>
      </c>
      <c r="D75" s="7"/>
      <c r="E75" s="6"/>
      <c r="F75" s="6"/>
      <c r="G75" s="6"/>
      <c r="H75" s="7"/>
      <c r="I75" s="7"/>
      <c r="J75" s="7"/>
      <c r="K75" s="6"/>
      <c r="L75" s="6"/>
    </row>
    <row r="76" ht="15.75" customHeight="1" spans="1:12">
      <c r="A76" s="4">
        <v>72</v>
      </c>
      <c r="B76" s="8">
        <v>46332</v>
      </c>
      <c r="C76" s="4" t="str">
        <f t="shared" si="1"/>
        <v>Fri</v>
      </c>
      <c r="D76" s="7"/>
      <c r="E76" s="6"/>
      <c r="F76" s="6"/>
      <c r="G76" s="6"/>
      <c r="H76" s="7"/>
      <c r="I76" s="7"/>
      <c r="J76" s="7"/>
      <c r="K76" s="6"/>
      <c r="L76" s="6"/>
    </row>
    <row r="77" ht="15.75" customHeight="1" spans="1:12">
      <c r="A77" s="4">
        <v>73</v>
      </c>
      <c r="B77" s="8">
        <v>46333</v>
      </c>
      <c r="C77" s="4" t="str">
        <f t="shared" si="1"/>
        <v>Sat</v>
      </c>
      <c r="D77" s="7"/>
      <c r="E77" s="6"/>
      <c r="F77" s="6"/>
      <c r="G77" s="6"/>
      <c r="H77" s="7"/>
      <c r="I77" s="7"/>
      <c r="J77" s="7"/>
      <c r="K77" s="6"/>
      <c r="L77" s="6"/>
    </row>
    <row r="78" ht="15.75" customHeight="1" spans="1:12">
      <c r="A78" s="4">
        <v>74</v>
      </c>
      <c r="B78" s="8">
        <v>46334</v>
      </c>
      <c r="C78" s="4" t="str">
        <f t="shared" si="1"/>
        <v>Sun</v>
      </c>
      <c r="D78" s="7"/>
      <c r="E78" s="6"/>
      <c r="F78" s="6"/>
      <c r="G78" s="6"/>
      <c r="H78" s="7"/>
      <c r="I78" s="7"/>
      <c r="J78" s="7"/>
      <c r="K78" s="6"/>
      <c r="L78" s="6"/>
    </row>
    <row r="79" ht="15.75" customHeight="1" spans="1:12">
      <c r="A79" s="4">
        <v>75</v>
      </c>
      <c r="B79" s="8">
        <v>46335</v>
      </c>
      <c r="C79" s="4" t="str">
        <f t="shared" si="1"/>
        <v>Mon</v>
      </c>
      <c r="D79" s="7"/>
      <c r="E79" s="6"/>
      <c r="F79" s="6"/>
      <c r="G79" s="6"/>
      <c r="H79" s="7"/>
      <c r="I79" s="7"/>
      <c r="J79" s="7"/>
      <c r="K79" s="6"/>
      <c r="L79" s="6"/>
    </row>
    <row r="80" ht="15.75" customHeight="1" spans="1:12">
      <c r="A80" s="4">
        <v>76</v>
      </c>
      <c r="B80" s="8">
        <v>46336</v>
      </c>
      <c r="C80" s="4" t="str">
        <f t="shared" si="1"/>
        <v>Tue</v>
      </c>
      <c r="D80" s="7"/>
      <c r="E80" s="6"/>
      <c r="F80" s="6"/>
      <c r="G80" s="6"/>
      <c r="H80" s="7"/>
      <c r="I80" s="7"/>
      <c r="J80" s="7"/>
      <c r="K80" s="6"/>
      <c r="L80" s="6"/>
    </row>
    <row r="81" ht="15.75" customHeight="1" spans="1:12">
      <c r="A81" s="4">
        <v>77</v>
      </c>
      <c r="B81" s="8">
        <v>46337</v>
      </c>
      <c r="C81" s="4" t="str">
        <f t="shared" si="1"/>
        <v>Wed</v>
      </c>
      <c r="D81" s="7"/>
      <c r="E81" s="6"/>
      <c r="F81" s="6"/>
      <c r="G81" s="6"/>
      <c r="H81" s="7"/>
      <c r="I81" s="7"/>
      <c r="J81" s="7"/>
      <c r="K81" s="6"/>
      <c r="L81" s="6"/>
    </row>
    <row r="82" ht="15.75" customHeight="1" spans="1:12">
      <c r="A82" s="4">
        <v>78</v>
      </c>
      <c r="B82" s="8">
        <v>46338</v>
      </c>
      <c r="C82" s="4" t="str">
        <f t="shared" si="1"/>
        <v>Thu</v>
      </c>
      <c r="D82" s="7"/>
      <c r="E82" s="6"/>
      <c r="F82" s="6"/>
      <c r="G82" s="6"/>
      <c r="H82" s="7"/>
      <c r="I82" s="7"/>
      <c r="J82" s="7"/>
      <c r="K82" s="6"/>
      <c r="L82" s="6"/>
    </row>
    <row r="84" customHeight="1" spans="1:12">
      <c r="A84" s="12" t="s">
        <v>183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</sheetData>
  <mergeCells count="3">
    <mergeCell ref="A2:L2"/>
    <mergeCell ref="A3:L3"/>
    <mergeCell ref="A84:L85"/>
  </mergeCells>
  <conditionalFormatting sqref="A5:L82">
    <cfRule type="expression" dxfId="7" priority="2">
      <formula>WEEKDAY($B5,2)&gt;=6</formula>
    </cfRule>
    <cfRule type="expression" dxfId="3" priority="3">
      <formula>$B5=TODAY()</formula>
    </cfRule>
  </conditionalFormatting>
  <pageMargins left="0.3" right="0.3" top="0.4" bottom="0.4" header="0.511811023622047" footer="0.511811023622047"/>
  <pageSetup paperSize="1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2:J44"/>
  <sheetViews>
    <sheetView showGridLines="0" workbookViewId="0">
      <pane ySplit="4" topLeftCell="A5" activePane="bottomLeft" state="frozen"/>
      <selection/>
      <selection pane="bottomLeft" activeCell="B13" sqref="B13"/>
    </sheetView>
  </sheetViews>
  <sheetFormatPr defaultColWidth="8.67619047619048" defaultRowHeight="15"/>
  <cols>
    <col min="1" max="1" width="4" customWidth="1"/>
    <col min="2" max="2" width="12" customWidth="1"/>
    <col min="3" max="3" width="16" customWidth="1"/>
    <col min="4" max="4" width="34" customWidth="1"/>
    <col min="5" max="5" width="14" customWidth="1"/>
    <col min="6" max="6" width="16" customWidth="1"/>
    <col min="7" max="7" width="14" customWidth="1"/>
    <col min="8" max="8" width="12" customWidth="1"/>
    <col min="9" max="9" width="14" customWidth="1"/>
    <col min="10" max="10" width="22" customWidth="1"/>
  </cols>
  <sheetData>
    <row r="2" ht="21.75" customHeight="1" spans="1:10">
      <c r="A2" s="1" t="s">
        <v>184</v>
      </c>
      <c r="B2" s="1"/>
      <c r="C2" s="1"/>
      <c r="D2" s="1"/>
      <c r="E2" s="1"/>
      <c r="F2" s="1"/>
      <c r="G2" s="1"/>
      <c r="H2" s="1"/>
      <c r="I2" s="1"/>
      <c r="J2" s="1"/>
    </row>
    <row r="3" ht="15.75" customHeight="1" spans="1:10">
      <c r="A3" s="2" t="s">
        <v>185</v>
      </c>
      <c r="B3" s="2"/>
      <c r="C3" s="2"/>
      <c r="D3" s="2"/>
      <c r="E3" s="2"/>
      <c r="F3" s="2"/>
      <c r="G3" s="2"/>
      <c r="H3" s="2"/>
      <c r="I3" s="2"/>
      <c r="J3" s="2"/>
    </row>
    <row r="4" ht="27.75" customHeight="1" spans="1:10">
      <c r="A4" s="3" t="s">
        <v>40</v>
      </c>
      <c r="B4" s="3" t="s">
        <v>186</v>
      </c>
      <c r="C4" s="3" t="s">
        <v>187</v>
      </c>
      <c r="D4" s="3" t="s">
        <v>188</v>
      </c>
      <c r="E4" s="3" t="s">
        <v>189</v>
      </c>
      <c r="F4" s="3" t="s">
        <v>43</v>
      </c>
      <c r="G4" s="3" t="s">
        <v>190</v>
      </c>
      <c r="H4" s="3" t="s">
        <v>52</v>
      </c>
      <c r="I4" s="3" t="s">
        <v>191</v>
      </c>
      <c r="J4" s="3" t="s">
        <v>54</v>
      </c>
    </row>
    <row r="5" ht="15.75" customHeight="1" spans="1:10">
      <c r="A5" s="4">
        <v>1</v>
      </c>
      <c r="B5" s="5"/>
      <c r="C5" s="6"/>
      <c r="D5" s="7"/>
      <c r="E5" s="6"/>
      <c r="F5" s="6"/>
      <c r="G5" s="5"/>
      <c r="H5" s="6"/>
      <c r="I5" s="5"/>
      <c r="J5" s="6"/>
    </row>
    <row r="6" ht="15.75" customHeight="1" spans="1:10">
      <c r="A6" s="4">
        <v>2</v>
      </c>
      <c r="B6" s="5"/>
      <c r="C6" s="6"/>
      <c r="D6" s="7"/>
      <c r="E6" s="6"/>
      <c r="F6" s="6"/>
      <c r="G6" s="5"/>
      <c r="H6" s="6"/>
      <c r="I6" s="5"/>
      <c r="J6" s="6"/>
    </row>
    <row r="7" ht="15.75" customHeight="1" spans="1:10">
      <c r="A7" s="4">
        <v>3</v>
      </c>
      <c r="B7" s="5"/>
      <c r="C7" s="6"/>
      <c r="D7" s="7"/>
      <c r="E7" s="6"/>
      <c r="F7" s="6"/>
      <c r="G7" s="5"/>
      <c r="H7" s="6"/>
      <c r="I7" s="5"/>
      <c r="J7" s="6"/>
    </row>
    <row r="8" ht="15.75" customHeight="1" spans="1:10">
      <c r="A8" s="4">
        <v>4</v>
      </c>
      <c r="B8" s="5"/>
      <c r="C8" s="6"/>
      <c r="D8" s="7"/>
      <c r="E8" s="6"/>
      <c r="F8" s="6"/>
      <c r="G8" s="5"/>
      <c r="H8" s="6"/>
      <c r="I8" s="5"/>
      <c r="J8" s="6"/>
    </row>
    <row r="9" ht="15.75" customHeight="1" spans="1:10">
      <c r="A9" s="4">
        <v>5</v>
      </c>
      <c r="B9" s="5"/>
      <c r="C9" s="6"/>
      <c r="D9" s="7"/>
      <c r="E9" s="6"/>
      <c r="F9" s="6"/>
      <c r="G9" s="5"/>
      <c r="H9" s="6"/>
      <c r="I9" s="5"/>
      <c r="J9" s="6"/>
    </row>
    <row r="10" ht="15.75" customHeight="1" spans="1:10">
      <c r="A10" s="4">
        <v>6</v>
      </c>
      <c r="B10" s="5"/>
      <c r="C10" s="6"/>
      <c r="D10" s="7"/>
      <c r="E10" s="6"/>
      <c r="F10" s="6"/>
      <c r="G10" s="5"/>
      <c r="H10" s="6"/>
      <c r="I10" s="5"/>
      <c r="J10" s="6"/>
    </row>
    <row r="11" ht="15.75" customHeight="1" spans="1:10">
      <c r="A11" s="4">
        <v>7</v>
      </c>
      <c r="B11" s="5"/>
      <c r="C11" s="6"/>
      <c r="D11" s="7"/>
      <c r="E11" s="6"/>
      <c r="F11" s="6"/>
      <c r="G11" s="5"/>
      <c r="H11" s="6"/>
      <c r="I11" s="5"/>
      <c r="J11" s="6"/>
    </row>
    <row r="12" ht="15.75" customHeight="1" spans="1:10">
      <c r="A12" s="4">
        <v>8</v>
      </c>
      <c r="B12" s="5"/>
      <c r="C12" s="6"/>
      <c r="D12" s="7"/>
      <c r="E12" s="6"/>
      <c r="F12" s="6"/>
      <c r="G12" s="5"/>
      <c r="H12" s="6"/>
      <c r="I12" s="5"/>
      <c r="J12" s="6"/>
    </row>
    <row r="13" ht="15.75" customHeight="1" spans="1:10">
      <c r="A13" s="4">
        <v>9</v>
      </c>
      <c r="B13" s="5"/>
      <c r="C13" s="6"/>
      <c r="D13" s="7"/>
      <c r="E13" s="6"/>
      <c r="F13" s="6"/>
      <c r="G13" s="5"/>
      <c r="H13" s="6"/>
      <c r="I13" s="5"/>
      <c r="J13" s="6"/>
    </row>
    <row r="14" ht="15.75" customHeight="1" spans="1:10">
      <c r="A14" s="4">
        <v>10</v>
      </c>
      <c r="B14" s="5"/>
      <c r="C14" s="6"/>
      <c r="D14" s="7"/>
      <c r="E14" s="6"/>
      <c r="F14" s="6"/>
      <c r="G14" s="5"/>
      <c r="H14" s="6"/>
      <c r="I14" s="5"/>
      <c r="J14" s="6"/>
    </row>
    <row r="15" ht="15.75" customHeight="1" spans="1:10">
      <c r="A15" s="4">
        <v>11</v>
      </c>
      <c r="B15" s="5"/>
      <c r="C15" s="6"/>
      <c r="D15" s="7"/>
      <c r="E15" s="6"/>
      <c r="F15" s="6"/>
      <c r="G15" s="5"/>
      <c r="H15" s="6"/>
      <c r="I15" s="5"/>
      <c r="J15" s="6"/>
    </row>
    <row r="16" ht="15.75" customHeight="1" spans="1:10">
      <c r="A16" s="4">
        <v>12</v>
      </c>
      <c r="B16" s="5"/>
      <c r="C16" s="6"/>
      <c r="D16" s="7"/>
      <c r="E16" s="6"/>
      <c r="F16" s="6"/>
      <c r="G16" s="5"/>
      <c r="H16" s="6"/>
      <c r="I16" s="5"/>
      <c r="J16" s="6"/>
    </row>
    <row r="17" ht="15.75" customHeight="1" spans="1:10">
      <c r="A17" s="4">
        <v>13</v>
      </c>
      <c r="B17" s="5"/>
      <c r="C17" s="6"/>
      <c r="D17" s="7"/>
      <c r="E17" s="6"/>
      <c r="F17" s="6"/>
      <c r="G17" s="5"/>
      <c r="H17" s="6"/>
      <c r="I17" s="5"/>
      <c r="J17" s="6"/>
    </row>
    <row r="18" ht="15.75" customHeight="1" spans="1:10">
      <c r="A18" s="4">
        <v>14</v>
      </c>
      <c r="B18" s="5"/>
      <c r="C18" s="6"/>
      <c r="D18" s="7"/>
      <c r="E18" s="6"/>
      <c r="F18" s="6"/>
      <c r="G18" s="5"/>
      <c r="H18" s="6"/>
      <c r="I18" s="5"/>
      <c r="J18" s="6"/>
    </row>
    <row r="19" ht="15.75" customHeight="1" spans="1:10">
      <c r="A19" s="4">
        <v>15</v>
      </c>
      <c r="B19" s="5"/>
      <c r="C19" s="6"/>
      <c r="D19" s="7"/>
      <c r="E19" s="6"/>
      <c r="F19" s="6"/>
      <c r="G19" s="5"/>
      <c r="H19" s="6"/>
      <c r="I19" s="5"/>
      <c r="J19" s="6"/>
    </row>
    <row r="20" ht="15.75" customHeight="1" spans="1:10">
      <c r="A20" s="4">
        <v>16</v>
      </c>
      <c r="B20" s="5"/>
      <c r="C20" s="6"/>
      <c r="D20" s="7"/>
      <c r="E20" s="6"/>
      <c r="F20" s="6"/>
      <c r="G20" s="5"/>
      <c r="H20" s="6"/>
      <c r="I20" s="5"/>
      <c r="J20" s="6"/>
    </row>
    <row r="21" ht="15.75" customHeight="1" spans="1:10">
      <c r="A21" s="4">
        <v>17</v>
      </c>
      <c r="B21" s="5"/>
      <c r="C21" s="6"/>
      <c r="D21" s="7"/>
      <c r="E21" s="6"/>
      <c r="F21" s="6"/>
      <c r="G21" s="5"/>
      <c r="H21" s="6"/>
      <c r="I21" s="5"/>
      <c r="J21" s="6"/>
    </row>
    <row r="22" ht="15.75" customHeight="1" spans="1:10">
      <c r="A22" s="4">
        <v>18</v>
      </c>
      <c r="B22" s="5"/>
      <c r="C22" s="6"/>
      <c r="D22" s="7"/>
      <c r="E22" s="6"/>
      <c r="F22" s="6"/>
      <c r="G22" s="5"/>
      <c r="H22" s="6"/>
      <c r="I22" s="5"/>
      <c r="J22" s="6"/>
    </row>
    <row r="23" ht="15.75" customHeight="1" spans="1:10">
      <c r="A23" s="4">
        <v>19</v>
      </c>
      <c r="B23" s="5"/>
      <c r="C23" s="6"/>
      <c r="D23" s="7"/>
      <c r="E23" s="6"/>
      <c r="F23" s="6"/>
      <c r="G23" s="5"/>
      <c r="H23" s="6"/>
      <c r="I23" s="5"/>
      <c r="J23" s="6"/>
    </row>
    <row r="24" ht="15.75" customHeight="1" spans="1:10">
      <c r="A24" s="4">
        <v>20</v>
      </c>
      <c r="B24" s="5"/>
      <c r="C24" s="6"/>
      <c r="D24" s="7"/>
      <c r="E24" s="6"/>
      <c r="F24" s="6"/>
      <c r="G24" s="5"/>
      <c r="H24" s="6"/>
      <c r="I24" s="5"/>
      <c r="J24" s="6"/>
    </row>
    <row r="25" ht="15.75" customHeight="1" spans="1:10">
      <c r="A25" s="4">
        <v>21</v>
      </c>
      <c r="B25" s="5"/>
      <c r="C25" s="6"/>
      <c r="D25" s="7"/>
      <c r="E25" s="6"/>
      <c r="F25" s="6"/>
      <c r="G25" s="5"/>
      <c r="H25" s="6"/>
      <c r="I25" s="5"/>
      <c r="J25" s="6"/>
    </row>
    <row r="26" ht="15.75" customHeight="1" spans="1:10">
      <c r="A26" s="4">
        <v>22</v>
      </c>
      <c r="B26" s="5"/>
      <c r="C26" s="6"/>
      <c r="D26" s="7"/>
      <c r="E26" s="6"/>
      <c r="F26" s="6"/>
      <c r="G26" s="5"/>
      <c r="H26" s="6"/>
      <c r="I26" s="5"/>
      <c r="J26" s="6"/>
    </row>
    <row r="27" ht="15.75" customHeight="1" spans="1:10">
      <c r="A27" s="4">
        <v>23</v>
      </c>
      <c r="B27" s="5"/>
      <c r="C27" s="6"/>
      <c r="D27" s="7"/>
      <c r="E27" s="6"/>
      <c r="F27" s="6"/>
      <c r="G27" s="5"/>
      <c r="H27" s="6"/>
      <c r="I27" s="5"/>
      <c r="J27" s="6"/>
    </row>
    <row r="28" ht="15.75" customHeight="1" spans="1:10">
      <c r="A28" s="4">
        <v>24</v>
      </c>
      <c r="B28" s="5"/>
      <c r="C28" s="6"/>
      <c r="D28" s="7"/>
      <c r="E28" s="6"/>
      <c r="F28" s="6"/>
      <c r="G28" s="5"/>
      <c r="H28" s="6"/>
      <c r="I28" s="5"/>
      <c r="J28" s="6"/>
    </row>
    <row r="29" ht="15.75" customHeight="1" spans="1:10">
      <c r="A29" s="4">
        <v>25</v>
      </c>
      <c r="B29" s="5"/>
      <c r="C29" s="6"/>
      <c r="D29" s="7"/>
      <c r="E29" s="6"/>
      <c r="F29" s="6"/>
      <c r="G29" s="5"/>
      <c r="H29" s="6"/>
      <c r="I29" s="5"/>
      <c r="J29" s="6"/>
    </row>
    <row r="30" ht="15.75" customHeight="1" spans="1:10">
      <c r="A30" s="4">
        <v>26</v>
      </c>
      <c r="B30" s="5"/>
      <c r="C30" s="6"/>
      <c r="D30" s="7"/>
      <c r="E30" s="6"/>
      <c r="F30" s="6"/>
      <c r="G30" s="5"/>
      <c r="H30" s="6"/>
      <c r="I30" s="5"/>
      <c r="J30" s="6"/>
    </row>
    <row r="31" ht="15.75" customHeight="1" spans="1:10">
      <c r="A31" s="4">
        <v>27</v>
      </c>
      <c r="B31" s="5"/>
      <c r="C31" s="6"/>
      <c r="D31" s="7"/>
      <c r="E31" s="6"/>
      <c r="F31" s="6"/>
      <c r="G31" s="5"/>
      <c r="H31" s="6"/>
      <c r="I31" s="5"/>
      <c r="J31" s="6"/>
    </row>
    <row r="32" ht="15.75" customHeight="1" spans="1:10">
      <c r="A32" s="4">
        <v>28</v>
      </c>
      <c r="B32" s="5"/>
      <c r="C32" s="6"/>
      <c r="D32" s="7"/>
      <c r="E32" s="6"/>
      <c r="F32" s="6"/>
      <c r="G32" s="5"/>
      <c r="H32" s="6"/>
      <c r="I32" s="5"/>
      <c r="J32" s="6"/>
    </row>
    <row r="33" ht="15.75" customHeight="1" spans="1:10">
      <c r="A33" s="4">
        <v>29</v>
      </c>
      <c r="B33" s="5"/>
      <c r="C33" s="6"/>
      <c r="D33" s="7"/>
      <c r="E33" s="6"/>
      <c r="F33" s="6"/>
      <c r="G33" s="5"/>
      <c r="H33" s="6"/>
      <c r="I33" s="5"/>
      <c r="J33" s="6"/>
    </row>
    <row r="34" ht="15.75" customHeight="1" spans="1:10">
      <c r="A34" s="4">
        <v>30</v>
      </c>
      <c r="B34" s="5"/>
      <c r="C34" s="6"/>
      <c r="D34" s="7"/>
      <c r="E34" s="6"/>
      <c r="F34" s="6"/>
      <c r="G34" s="5"/>
      <c r="H34" s="6"/>
      <c r="I34" s="5"/>
      <c r="J34" s="6"/>
    </row>
    <row r="35" ht="15.75" customHeight="1" spans="1:10">
      <c r="A35" s="4">
        <v>31</v>
      </c>
      <c r="B35" s="5"/>
      <c r="C35" s="6"/>
      <c r="D35" s="7"/>
      <c r="E35" s="6"/>
      <c r="F35" s="6"/>
      <c r="G35" s="5"/>
      <c r="H35" s="6"/>
      <c r="I35" s="5"/>
      <c r="J35" s="6"/>
    </row>
    <row r="36" ht="15.75" customHeight="1" spans="1:10">
      <c r="A36" s="4">
        <v>32</v>
      </c>
      <c r="B36" s="5"/>
      <c r="C36" s="6"/>
      <c r="D36" s="7"/>
      <c r="E36" s="6"/>
      <c r="F36" s="6"/>
      <c r="G36" s="5"/>
      <c r="H36" s="6"/>
      <c r="I36" s="5"/>
      <c r="J36" s="6"/>
    </row>
    <row r="37" ht="15.75" customHeight="1" spans="1:10">
      <c r="A37" s="4">
        <v>33</v>
      </c>
      <c r="B37" s="5"/>
      <c r="C37" s="6"/>
      <c r="D37" s="7"/>
      <c r="E37" s="6"/>
      <c r="F37" s="6"/>
      <c r="G37" s="5"/>
      <c r="H37" s="6"/>
      <c r="I37" s="5"/>
      <c r="J37" s="6"/>
    </row>
    <row r="38" ht="15.75" customHeight="1" spans="1:10">
      <c r="A38" s="4">
        <v>34</v>
      </c>
      <c r="B38" s="5"/>
      <c r="C38" s="6"/>
      <c r="D38" s="7"/>
      <c r="E38" s="6"/>
      <c r="F38" s="6"/>
      <c r="G38" s="5"/>
      <c r="H38" s="6"/>
      <c r="I38" s="5"/>
      <c r="J38" s="6"/>
    </row>
    <row r="39" ht="15.75" customHeight="1" spans="1:10">
      <c r="A39" s="4">
        <v>35</v>
      </c>
      <c r="B39" s="5"/>
      <c r="C39" s="6"/>
      <c r="D39" s="7"/>
      <c r="E39" s="6"/>
      <c r="F39" s="6"/>
      <c r="G39" s="5"/>
      <c r="H39" s="6"/>
      <c r="I39" s="5"/>
      <c r="J39" s="6"/>
    </row>
    <row r="40" ht="15.75" customHeight="1" spans="1:10">
      <c r="A40" s="4">
        <v>36</v>
      </c>
      <c r="B40" s="5"/>
      <c r="C40" s="6"/>
      <c r="D40" s="7"/>
      <c r="E40" s="6"/>
      <c r="F40" s="6"/>
      <c r="G40" s="5"/>
      <c r="H40" s="6"/>
      <c r="I40" s="5"/>
      <c r="J40" s="6"/>
    </row>
    <row r="41" ht="15.75" customHeight="1" spans="1:10">
      <c r="A41" s="4">
        <v>37</v>
      </c>
      <c r="B41" s="5"/>
      <c r="C41" s="6"/>
      <c r="D41" s="7"/>
      <c r="E41" s="6"/>
      <c r="F41" s="6"/>
      <c r="G41" s="5"/>
      <c r="H41" s="6"/>
      <c r="I41" s="5"/>
      <c r="J41" s="6"/>
    </row>
    <row r="42" ht="15.75" customHeight="1" spans="1:10">
      <c r="A42" s="4">
        <v>38</v>
      </c>
      <c r="B42" s="5"/>
      <c r="C42" s="6"/>
      <c r="D42" s="7"/>
      <c r="E42" s="6"/>
      <c r="F42" s="6"/>
      <c r="G42" s="5"/>
      <c r="H42" s="6"/>
      <c r="I42" s="5"/>
      <c r="J42" s="6"/>
    </row>
    <row r="43" ht="15.75" customHeight="1" spans="1:10">
      <c r="A43" s="4">
        <v>39</v>
      </c>
      <c r="B43" s="5"/>
      <c r="C43" s="6"/>
      <c r="D43" s="7"/>
      <c r="E43" s="6"/>
      <c r="F43" s="6"/>
      <c r="G43" s="5"/>
      <c r="H43" s="6"/>
      <c r="I43" s="5"/>
      <c r="J43" s="6"/>
    </row>
    <row r="44" ht="15.75" customHeight="1" spans="1:10">
      <c r="A44" s="4">
        <v>40</v>
      </c>
      <c r="B44" s="5"/>
      <c r="C44" s="6"/>
      <c r="D44" s="7"/>
      <c r="E44" s="6"/>
      <c r="F44" s="6"/>
      <c r="G44" s="5"/>
      <c r="H44" s="6"/>
      <c r="I44" s="5"/>
      <c r="J44" s="6"/>
    </row>
  </sheetData>
  <mergeCells count="2">
    <mergeCell ref="A2:J2"/>
    <mergeCell ref="A3:J3"/>
  </mergeCells>
  <conditionalFormatting sqref="G5:G44">
    <cfRule type="expression" dxfId="1" priority="5">
      <formula>AND($H5&lt;&gt;"Closed",$G5&lt;&gt;"",$G5&lt;TODAY())</formula>
    </cfRule>
  </conditionalFormatting>
  <conditionalFormatting sqref="H5:H44">
    <cfRule type="expression" dxfId="0" priority="2">
      <formula>$H5="Closed"</formula>
    </cfRule>
    <cfRule type="expression" dxfId="2" priority="3">
      <formula>$H5="WIP"</formula>
    </cfRule>
    <cfRule type="expression" dxfId="1" priority="4">
      <formula>$H5="Open"</formula>
    </cfRule>
  </conditionalFormatting>
  <dataValidations count="1">
    <dataValidation type="list" allowBlank="1" sqref="H5:H44">
      <formula1>"Open,WIP,Closed"</formula1>
    </dataValidation>
  </dataValidations>
  <pageMargins left="0.3" right="0.3" top="0.4" bottom="0.4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 Dashboard</vt:lpstr>
      <vt:lpstr>Installation Gantt</vt:lpstr>
      <vt:lpstr>Material Receiving Tracker</vt:lpstr>
      <vt:lpstr>Daily Progress Log</vt:lpstr>
      <vt:lpstr>Punch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i.mynthanchandru</cp:lastModifiedBy>
  <cp:revision>0</cp:revision>
  <dcterms:created xsi:type="dcterms:W3CDTF">2026-09-07T06:30:00Z</dcterms:created>
  <dcterms:modified xsi:type="dcterms:W3CDTF">2026-09-07T07:28:39Z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2057-11.2.0.10017</vt:lpwstr>
  </property>
</Properties>
</file>