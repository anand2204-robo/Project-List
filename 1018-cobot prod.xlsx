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CNC PRODUCTION DETAIL" sheetId="1" r:id="rId1"/>
  </sheets>
  <definedNames>
    <definedName name="_xleta.SUM" hidden="1">#NAME?</definedName>
    <definedName name="_xlnm.Print_Area" localSheetId="0">'CNC PRODUCTION DETAIL'!$A$1:$L$153</definedName>
  </definedNames>
  <calcPr calcId="144525"/>
</workbook>
</file>

<file path=xl/sharedStrings.xml><?xml version="1.0" encoding="utf-8"?>
<sst xmlns="http://schemas.openxmlformats.org/spreadsheetml/2006/main" count="337" uniqueCount="130">
  <si>
    <t xml:space="preserve">SEP'26 MONTH- 1018-PART STELLANTIS CNC MACHINING -1ST SET UP OPERATION COBOT DAILY PRODUCTION DETAILS </t>
  </si>
  <si>
    <t>SLNO</t>
  </si>
  <si>
    <t>DATE</t>
  </si>
  <si>
    <t>MACHINE NAME</t>
  </si>
  <si>
    <t>Current Cycle time</t>
  </si>
  <si>
    <t>PROD</t>
  </si>
  <si>
    <t>ACC</t>
  </si>
  <si>
    <t>REJ</t>
  </si>
  <si>
    <t>%</t>
  </si>
  <si>
    <t>OVER ALL PROD</t>
  </si>
  <si>
    <t>CUM PROD</t>
  </si>
  <si>
    <t>REMARKS</t>
  </si>
  <si>
    <t>15.07.2026</t>
  </si>
  <si>
    <t>TU-67</t>
  </si>
  <si>
    <t>45 SECS/PART</t>
  </si>
  <si>
    <t>18.07.2026</t>
  </si>
  <si>
    <t>SUSPECT PART FOR RADIUS NOT OK</t>
  </si>
  <si>
    <t>TU-68</t>
  </si>
  <si>
    <t>23.07.2026</t>
  </si>
  <si>
    <t>25.07.2026</t>
  </si>
  <si>
    <t>26.07.2026</t>
  </si>
  <si>
    <t>27.07.2026</t>
  </si>
  <si>
    <t>28.07.2026</t>
  </si>
  <si>
    <t xml:space="preserve"> Cobot hit in job due to chuck clamp issue</t>
  </si>
  <si>
    <t>29.07.2026</t>
  </si>
  <si>
    <t>power failure- 40min
lmw service engineer visit -20 min</t>
  </si>
  <si>
    <t>30.07.2026</t>
  </si>
  <si>
    <t>Radius issue due to cmm inpection error</t>
  </si>
  <si>
    <t>31.07.2026</t>
  </si>
  <si>
    <t>lunch hour also runned</t>
  </si>
  <si>
    <t>01.08.2026</t>
  </si>
  <si>
    <t>Modified air cleaning nozzle implementation</t>
  </si>
  <si>
    <t>03.08.2026</t>
  </si>
  <si>
    <t>Inventory taken</t>
  </si>
  <si>
    <t>04.08.2026</t>
  </si>
  <si>
    <t>Start up loss - Initial speed reduced</t>
  </si>
  <si>
    <t>05.08.2026</t>
  </si>
  <si>
    <t>Radius issue due to correction &amp; inspection delay</t>
  </si>
  <si>
    <t>06.08.2026</t>
  </si>
  <si>
    <t>New  jaw washing done</t>
  </si>
  <si>
    <t>07.08.2026</t>
  </si>
  <si>
    <t>08.08.2026</t>
  </si>
  <si>
    <t>1st shift coolant cleaning tank donedue o contamination &amp; coolant flow failure issue</t>
  </si>
  <si>
    <t>10.08.2026</t>
  </si>
  <si>
    <t>11.08.2026</t>
  </si>
  <si>
    <t xml:space="preserve"> 1. Jaw washing done due to radius issue occurs
2. Cobot training planned</t>
  </si>
  <si>
    <t>12.08.2026</t>
  </si>
  <si>
    <t>13.08.2026</t>
  </si>
  <si>
    <t>14.08.2026</t>
  </si>
  <si>
    <t>3 shifts runned cobot</t>
  </si>
  <si>
    <t>16.08.2026</t>
  </si>
  <si>
    <t>Start up delay due to New supervisor - first time cobot running</t>
  </si>
  <si>
    <t>17.08.2026</t>
  </si>
  <si>
    <t>1. Cobot gripper issue - 2hrs
2. Auto door issue -30 mins</t>
  </si>
  <si>
    <t>18.08.2026</t>
  </si>
  <si>
    <t>19.08.2026</t>
  </si>
  <si>
    <t>Start up delay due to Night shift intial cleaning.</t>
  </si>
  <si>
    <t>20.08.2026</t>
  </si>
  <si>
    <t xml:space="preserve">3rd shift - cobot not plan due to inventory more &amp; rework planned-46249nos runned till date </t>
  </si>
  <si>
    <t>21.08.2026</t>
  </si>
  <si>
    <t>22.08.2026</t>
  </si>
  <si>
    <t>3rd shift - manually runned due to shift incharge ganesan leave</t>
  </si>
  <si>
    <t>23.08.2026</t>
  </si>
  <si>
    <t>24.08.2026</t>
  </si>
  <si>
    <t>1st shift Part holding gripper screw loosened &amp; new screw changed</t>
  </si>
  <si>
    <t>25.08.2026</t>
  </si>
  <si>
    <t>26.08.2026</t>
  </si>
  <si>
    <t>Other model planned to run ( Crank sprocket - CNC-67  (890 PART)  &amp; CNC-68 (753 PART) )</t>
  </si>
  <si>
    <t>27.08.2026</t>
  </si>
  <si>
    <t>Other model planned to run ( Crank sprocket - CNC-67  (890 PART)  &amp; CNC-68 (1526 PART) )</t>
  </si>
  <si>
    <t>28.08.2026</t>
  </si>
  <si>
    <t>Other model planned to run ( Crank sprocket - CNC-68  (753 PART) -380 nos</t>
  </si>
  <si>
    <t>29.08.2026</t>
  </si>
  <si>
    <t>Other model planned to run ( Crank sprocket - CNC-68  (753 PART) -1031 nos</t>
  </si>
  <si>
    <t>30.08.2026</t>
  </si>
  <si>
    <t>Other model planned to run ( Crank sprocket - CNC-68  (753 PART-2nd set up) - 716 nos</t>
  </si>
  <si>
    <t>31.08.2026</t>
  </si>
  <si>
    <t>Other model planned to run ( Crank sprocket - CNC-68  (652 PART) - 150nos, 627 part- 1397 nos</t>
  </si>
  <si>
    <t>01.09.2026</t>
  </si>
  <si>
    <t>CNC-68 m/c setting changed from 753 to 1018 part</t>
  </si>
  <si>
    <t>02.09.2026</t>
  </si>
  <si>
    <t>03.09.2026</t>
  </si>
  <si>
    <t>MONTH</t>
  </si>
  <si>
    <t>PLAN</t>
  </si>
  <si>
    <t>ACTUAL</t>
  </si>
  <si>
    <t>JULY'26</t>
  </si>
  <si>
    <t>04.09.2026</t>
  </si>
  <si>
    <t>Rework planned in cnc-67 m/c</t>
  </si>
  <si>
    <t>AUG'26</t>
  </si>
  <si>
    <t>SEP'26</t>
  </si>
  <si>
    <t>05.09.2026</t>
  </si>
  <si>
    <t>Tray not available &amp; rework planned &amp; completed</t>
  </si>
  <si>
    <t xml:space="preserve">total </t>
  </si>
  <si>
    <t>06.09.2026</t>
  </si>
  <si>
    <t>07.09.2026</t>
  </si>
  <si>
    <t>08.09.2026</t>
  </si>
  <si>
    <t>09.09.2026</t>
  </si>
  <si>
    <t>10.09.2026</t>
  </si>
  <si>
    <t>Rework completed- 90 min</t>
  </si>
  <si>
    <t>11.09.2026</t>
  </si>
  <si>
    <t>12.09.2026</t>
  </si>
  <si>
    <t xml:space="preserve">1346- Part  - 367 NOS ( 2ND SHIFT - 160NOS &amp; 3 RD SHIFT -95 NOS)  &amp;
13.09.2026  -112 NOS SUNDAY </t>
  </si>
  <si>
    <t>14.09.2026</t>
  </si>
  <si>
    <t>SETTING CHANGEOVER FROM 1346 TO 1018 -
90 MINS
FIRST OFF INSPECTION &amp; DELAY- 600</t>
  </si>
  <si>
    <t>15.09.2026</t>
  </si>
  <si>
    <t>16.09.2026</t>
  </si>
  <si>
    <t>17.09.2026</t>
  </si>
  <si>
    <t>Chuck clamp &amp; unclamp sensor - PLC logiC Installation on both the machines- 11 hrs</t>
  </si>
  <si>
    <t>18.09.2026</t>
  </si>
  <si>
    <t>Chuck clamp &amp; unclamp sensor - PLC logiC Installation on both the machines- 3 hrs</t>
  </si>
  <si>
    <t>19.09.2026</t>
  </si>
  <si>
    <t>power cut - 1 hour</t>
  </si>
  <si>
    <t>20.09.2026</t>
  </si>
  <si>
    <t>21.09.2026</t>
  </si>
  <si>
    <t>22.09.2026</t>
  </si>
  <si>
    <t>power cut - 4 hours</t>
  </si>
  <si>
    <t>23.09.2026</t>
  </si>
  <si>
    <t>Coolant flow low alarm- filter cleaned  &amp; coolant flow meter position changed &amp; for operator feasibility fixed</t>
  </si>
  <si>
    <t>24.09.2026</t>
  </si>
  <si>
    <t>25.09.2026</t>
  </si>
  <si>
    <t>26.09.2026</t>
  </si>
  <si>
    <t>spring plunger stopper trial run taken - 5 nos
Teeth face out -0.08 micron came , so again came back to old plunger.</t>
  </si>
  <si>
    <t>27.09.2026</t>
  </si>
  <si>
    <t>Extra -2 hours worked on sunday ( 4.45pm to 6.45 pm)</t>
  </si>
  <si>
    <t>28.09.2026</t>
  </si>
  <si>
    <t>Setting changeover FROM 1018 TO 1599 -
90 MINS
Clamping pressure low alarm- 60  mins.</t>
  </si>
  <si>
    <t>29.09.2026</t>
  </si>
  <si>
    <t>Setting changeover FROM 1018 TO 1599 -
90 MINS
.
Single machine only planned</t>
  </si>
  <si>
    <t>30.09.2026</t>
  </si>
  <si>
    <t xml:space="preserve">Single machine planned - Setting change over From 1018 TO 931 -90 MINS
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</si>
</sst>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0_ "/>
    <numFmt numFmtId="178" formatCode="_ * #,##0.00_ ;_ * \-#,##0.00_ ;_ * &quot;-&quot;??_ ;_ @_ "/>
    <numFmt numFmtId="179" formatCode="_ * #,##0_ ;_ * \-#,##0_ ;_ * &quot;-&quot;_ ;_ @_ "/>
    <numFmt numFmtId="180" formatCode="_ &quot;₹&quot;* #,##0_ ;_ &quot;₹&quot;* \-#,##0_ ;_ &quot;₹&quot;* &quot;-&quot;_ ;_ @_ "/>
  </numFmts>
  <fonts count="23">
    <font>
      <sz val="12"/>
      <name val="Times New Roman"/>
      <charset val="0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9" fillId="11" borderId="0" applyNumberFormat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180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24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23" borderId="10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6" fillId="7" borderId="7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9" fontId="1" fillId="0" borderId="1" xfId="6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9" fontId="1" fillId="2" borderId="1" xfId="6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  <xf numFmtId="177" fontId="1" fillId="0" borderId="1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 wrapText="1"/>
    </xf>
    <xf numFmtId="177" fontId="1" fillId="5" borderId="2" xfId="0" applyNumberFormat="1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 wrapText="1"/>
    </xf>
    <xf numFmtId="177" fontId="1" fillId="5" borderId="4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177" fontId="1" fillId="0" borderId="1" xfId="0" applyNumberFormat="1" applyFon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177" fontId="1" fillId="0" borderId="0" xfId="0" applyNumberFormat="1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000" b="1">
                <a:solidFill>
                  <a:schemeClr val="tx1"/>
                </a:solidFill>
              </a:rPr>
              <a:t>1018-PART 1ST SET UP - COBOT PROD PLAN VS ACTUAL</a:t>
            </a:r>
            <a:endParaRPr sz="10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'CNC PRODUCTION DETAIL'!$P$84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'CNC PRODUCTION DETAIL'!$O$85:$O$88</c:f>
              <c:strCache>
                <c:ptCount val="4"/>
                <c:pt idx="0">
                  <c:v>JULY'26</c:v>
                </c:pt>
                <c:pt idx="1">
                  <c:v>AUG'26</c:v>
                </c:pt>
                <c:pt idx="2">
                  <c:v>SEP'26</c:v>
                </c:pt>
                <c:pt idx="3">
                  <c:v>total </c:v>
                </c:pt>
              </c:strCache>
            </c:strRef>
          </c:cat>
          <c:val>
            <c:numRef>
              <c:f>'CNC PRODUCTION DETAIL'!$P$85:$P$88</c:f>
              <c:numCache>
                <c:formatCode>General</c:formatCode>
                <c:ptCount val="4"/>
                <c:pt idx="0">
                  <c:v>6714</c:v>
                </c:pt>
                <c:pt idx="1">
                  <c:v>70198</c:v>
                </c:pt>
                <c:pt idx="2" c:formatCode="0_ ">
                  <c:v>90924</c:v>
                </c:pt>
                <c:pt idx="3">
                  <c:v>167836</c:v>
                </c:pt>
              </c:numCache>
            </c:numRef>
          </c:val>
        </c:ser>
        <c:ser>
          <c:idx val="1"/>
          <c:order val="1"/>
          <c:tx>
            <c:strRef>
              <c:f>'CNC PRODUCTION DETAIL'!$Q$84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.0125"/>
                  <c:y val="-0.018927444794952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'CNC PRODUCTION DETAIL'!$O$85:$O$88</c:f>
              <c:strCache>
                <c:ptCount val="4"/>
                <c:pt idx="0">
                  <c:v>JULY'26</c:v>
                </c:pt>
                <c:pt idx="1">
                  <c:v>AUG'26</c:v>
                </c:pt>
                <c:pt idx="2">
                  <c:v>SEP'26</c:v>
                </c:pt>
                <c:pt idx="3">
                  <c:v>total </c:v>
                </c:pt>
              </c:strCache>
            </c:strRef>
          </c:cat>
          <c:val>
            <c:numRef>
              <c:f>'CNC PRODUCTION DETAIL'!$Q$85:$Q$88</c:f>
              <c:numCache>
                <c:formatCode>General</c:formatCode>
                <c:ptCount val="4"/>
                <c:pt idx="0">
                  <c:v>5724</c:v>
                </c:pt>
                <c:pt idx="1">
                  <c:v>63726</c:v>
                </c:pt>
                <c:pt idx="2" c:formatCode="0_ ">
                  <c:v>84323</c:v>
                </c:pt>
                <c:pt idx="3">
                  <c:v>153773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5797598"/>
        <c:axId val="318196626"/>
      </c:barChart>
      <c:catAx>
        <c:axId val="26579759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tx1"/>
                    </a:solidFill>
                  </a:rPr>
                  <a:t>Month</a:t>
                </a:r>
                <a:endParaRPr b="1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8196626"/>
        <c:crosses val="autoZero"/>
        <c:auto val="1"/>
        <c:lblAlgn val="ctr"/>
        <c:lblOffset val="100"/>
        <c:noMultiLvlLbl val="0"/>
      </c:catAx>
      <c:valAx>
        <c:axId val="3181966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tx1"/>
                    </a:solidFill>
                  </a:rPr>
                  <a:t>qty in nos</a:t>
                </a:r>
                <a:endParaRPr b="1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57975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>
          <a:solidFill>
            <a:schemeClr val="tx1"/>
          </a:solidFill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139700</xdr:colOff>
      <xdr:row>89</xdr:row>
      <xdr:rowOff>260350</xdr:rowOff>
    </xdr:from>
    <xdr:to>
      <xdr:col>20</xdr:col>
      <xdr:colOff>511175</xdr:colOff>
      <xdr:row>151</xdr:row>
      <xdr:rowOff>47625</xdr:rowOff>
    </xdr:to>
    <xdr:graphicFrame>
      <xdr:nvGraphicFramePr>
        <xdr:cNvPr id="2" name="Chart 1"/>
        <xdr:cNvGraphicFramePr/>
      </xdr:nvGraphicFramePr>
      <xdr:xfrm>
        <a:off x="11483975" y="22320250"/>
        <a:ext cx="4572000" cy="18684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169"/>
  <sheetViews>
    <sheetView tabSelected="1" view="pageBreakPreview" zoomScaleNormal="100" workbookViewId="0">
      <pane xSplit="3" ySplit="3" topLeftCell="D129" activePane="bottomRight" state="frozen"/>
      <selection/>
      <selection pane="topRight"/>
      <selection pane="bottomLeft"/>
      <selection pane="bottomRight" activeCell="L145" sqref="L145"/>
    </sheetView>
  </sheetViews>
  <sheetFormatPr defaultColWidth="7.875" defaultRowHeight="15"/>
  <cols>
    <col min="1" max="2" width="7.875" style="1"/>
    <col min="3" max="3" width="9.25" style="1"/>
    <col min="4" max="5" width="14.5" style="1" customWidth="1"/>
    <col min="6" max="10" width="7.875" style="1"/>
    <col min="11" max="11" width="9.25" style="1"/>
    <col min="12" max="12" width="38.375" style="1" customWidth="1"/>
    <col min="13" max="16384" width="7.875" style="1"/>
  </cols>
  <sheetData>
    <row r="2" ht="39" customHeight="1" spans="2:12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ht="33" customHeight="1" spans="2:12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12" t="s">
        <v>9</v>
      </c>
      <c r="K3" s="12" t="s">
        <v>10</v>
      </c>
      <c r="L3" s="4" t="s">
        <v>11</v>
      </c>
    </row>
    <row r="4" ht="21" customHeight="1" spans="2:12">
      <c r="B4" s="5">
        <v>1</v>
      </c>
      <c r="C4" s="5" t="s">
        <v>12</v>
      </c>
      <c r="D4" s="5" t="s">
        <v>13</v>
      </c>
      <c r="E4" s="6" t="s">
        <v>14</v>
      </c>
      <c r="F4" s="5">
        <v>56</v>
      </c>
      <c r="G4" s="5">
        <v>56</v>
      </c>
      <c r="H4" s="5">
        <v>0</v>
      </c>
      <c r="I4" s="13">
        <f t="shared" ref="I4:I67" si="0">G4/F4</f>
        <v>1</v>
      </c>
      <c r="J4" s="5">
        <v>56</v>
      </c>
      <c r="K4" s="5">
        <v>56</v>
      </c>
      <c r="L4" s="14"/>
    </row>
    <row r="5" ht="23" customHeight="1" spans="2:12">
      <c r="B5" s="5">
        <v>2</v>
      </c>
      <c r="C5" s="5" t="s">
        <v>15</v>
      </c>
      <c r="D5" s="5" t="s">
        <v>13</v>
      </c>
      <c r="E5" s="7"/>
      <c r="F5" s="5">
        <v>93</v>
      </c>
      <c r="G5" s="5">
        <v>93</v>
      </c>
      <c r="H5" s="5">
        <v>0</v>
      </c>
      <c r="I5" s="13">
        <f t="shared" si="0"/>
        <v>1</v>
      </c>
      <c r="J5" s="5">
        <f>G5</f>
        <v>93</v>
      </c>
      <c r="K5" s="5">
        <f>K4+G5</f>
        <v>149</v>
      </c>
      <c r="L5" s="14"/>
    </row>
    <row r="6" spans="2:12">
      <c r="B6" s="6">
        <v>3</v>
      </c>
      <c r="C6" s="5">
        <v>22.072026</v>
      </c>
      <c r="D6" s="5" t="s">
        <v>13</v>
      </c>
      <c r="E6" s="7"/>
      <c r="F6" s="5">
        <v>39</v>
      </c>
      <c r="G6" s="5">
        <v>39</v>
      </c>
      <c r="H6" s="5">
        <v>0</v>
      </c>
      <c r="I6" s="13">
        <f t="shared" si="0"/>
        <v>1</v>
      </c>
      <c r="J6" s="6">
        <f t="shared" ref="J6:J10" si="1">G6+G7</f>
        <v>78</v>
      </c>
      <c r="K6" s="6">
        <f>K5+J6</f>
        <v>227</v>
      </c>
      <c r="L6" s="15" t="s">
        <v>16</v>
      </c>
    </row>
    <row r="7" s="1" customFormat="1" spans="2:12">
      <c r="B7" s="8"/>
      <c r="C7" s="5">
        <v>22.072026</v>
      </c>
      <c r="D7" s="5" t="s">
        <v>17</v>
      </c>
      <c r="E7" s="7"/>
      <c r="F7" s="5">
        <v>39</v>
      </c>
      <c r="G7" s="5">
        <v>39</v>
      </c>
      <c r="H7" s="5">
        <v>0</v>
      </c>
      <c r="I7" s="13">
        <f t="shared" si="0"/>
        <v>1</v>
      </c>
      <c r="J7" s="8"/>
      <c r="K7" s="8"/>
      <c r="L7" s="16"/>
    </row>
    <row r="8" spans="2:12">
      <c r="B8" s="6">
        <v>4</v>
      </c>
      <c r="C8" s="5" t="s">
        <v>18</v>
      </c>
      <c r="D8" s="5" t="s">
        <v>13</v>
      </c>
      <c r="E8" s="7"/>
      <c r="F8" s="5">
        <v>39</v>
      </c>
      <c r="G8" s="5">
        <v>39</v>
      </c>
      <c r="H8" s="5">
        <v>0</v>
      </c>
      <c r="I8" s="13">
        <f t="shared" si="0"/>
        <v>1</v>
      </c>
      <c r="J8" s="6">
        <f t="shared" si="1"/>
        <v>77</v>
      </c>
      <c r="K8" s="6">
        <f t="shared" ref="K8:K12" si="2">K6+J8</f>
        <v>304</v>
      </c>
      <c r="L8" s="15" t="s">
        <v>16</v>
      </c>
    </row>
    <row r="9" s="1" customFormat="1" spans="2:12">
      <c r="B9" s="8"/>
      <c r="C9" s="5" t="s">
        <v>18</v>
      </c>
      <c r="D9" s="5" t="s">
        <v>17</v>
      </c>
      <c r="E9" s="7"/>
      <c r="F9" s="5">
        <v>38</v>
      </c>
      <c r="G9" s="5">
        <v>38</v>
      </c>
      <c r="H9" s="5">
        <v>0</v>
      </c>
      <c r="I9" s="13">
        <f t="shared" si="0"/>
        <v>1</v>
      </c>
      <c r="J9" s="8"/>
      <c r="K9" s="8"/>
      <c r="L9" s="16"/>
    </row>
    <row r="10" s="1" customFormat="1" spans="2:12">
      <c r="B10" s="6">
        <v>5</v>
      </c>
      <c r="C10" s="5" t="s">
        <v>19</v>
      </c>
      <c r="D10" s="5" t="s">
        <v>13</v>
      </c>
      <c r="E10" s="7"/>
      <c r="F10" s="5">
        <v>32</v>
      </c>
      <c r="G10" s="5">
        <v>32</v>
      </c>
      <c r="H10" s="5">
        <v>0</v>
      </c>
      <c r="I10" s="13">
        <f t="shared" si="0"/>
        <v>1</v>
      </c>
      <c r="J10" s="6">
        <f t="shared" si="1"/>
        <v>47</v>
      </c>
      <c r="K10" s="6">
        <f t="shared" si="2"/>
        <v>351</v>
      </c>
      <c r="L10" s="14"/>
    </row>
    <row r="11" spans="2:12">
      <c r="B11" s="8"/>
      <c r="C11" s="5" t="s">
        <v>19</v>
      </c>
      <c r="D11" s="5" t="s">
        <v>17</v>
      </c>
      <c r="E11" s="7"/>
      <c r="F11" s="5">
        <v>15</v>
      </c>
      <c r="G11" s="5">
        <v>15</v>
      </c>
      <c r="H11" s="5">
        <v>0</v>
      </c>
      <c r="I11" s="13">
        <f t="shared" si="0"/>
        <v>1</v>
      </c>
      <c r="J11" s="8"/>
      <c r="K11" s="8"/>
      <c r="L11" s="14"/>
    </row>
    <row r="12" spans="2:12">
      <c r="B12" s="6">
        <v>6</v>
      </c>
      <c r="C12" s="5" t="s">
        <v>20</v>
      </c>
      <c r="D12" s="5" t="s">
        <v>13</v>
      </c>
      <c r="E12" s="7"/>
      <c r="F12" s="5">
        <v>228</v>
      </c>
      <c r="G12" s="5">
        <v>228</v>
      </c>
      <c r="H12" s="5">
        <v>0</v>
      </c>
      <c r="I12" s="13">
        <f t="shared" si="0"/>
        <v>1</v>
      </c>
      <c r="J12" s="17">
        <f t="shared" ref="J12:J16" si="3">G12+G13</f>
        <v>459</v>
      </c>
      <c r="K12" s="6">
        <f t="shared" si="2"/>
        <v>810</v>
      </c>
      <c r="L12" s="14"/>
    </row>
    <row r="13" s="1" customFormat="1" spans="2:12">
      <c r="B13" s="8"/>
      <c r="C13" s="5" t="s">
        <v>20</v>
      </c>
      <c r="D13" s="5" t="s">
        <v>17</v>
      </c>
      <c r="E13" s="7"/>
      <c r="F13" s="5">
        <v>231</v>
      </c>
      <c r="G13" s="5">
        <v>231</v>
      </c>
      <c r="H13" s="5">
        <v>0</v>
      </c>
      <c r="I13" s="13">
        <f t="shared" si="0"/>
        <v>1</v>
      </c>
      <c r="J13" s="18"/>
      <c r="K13" s="8"/>
      <c r="L13" s="14"/>
    </row>
    <row r="14" s="1" customFormat="1" spans="2:12">
      <c r="B14" s="6">
        <v>7</v>
      </c>
      <c r="C14" s="5" t="s">
        <v>21</v>
      </c>
      <c r="D14" s="5" t="s">
        <v>13</v>
      </c>
      <c r="E14" s="7"/>
      <c r="F14" s="5">
        <f t="shared" ref="F14:F19" si="4">3600/45*8.5</f>
        <v>680</v>
      </c>
      <c r="G14" s="5">
        <v>603</v>
      </c>
      <c r="H14" s="5">
        <v>0</v>
      </c>
      <c r="I14" s="13">
        <f t="shared" si="0"/>
        <v>0.886764705882353</v>
      </c>
      <c r="J14" s="17">
        <f t="shared" si="3"/>
        <v>1192</v>
      </c>
      <c r="K14" s="6">
        <f t="shared" ref="K14:K18" si="5">K12+J14</f>
        <v>2002</v>
      </c>
      <c r="L14" s="14"/>
    </row>
    <row r="15" s="1" customFormat="1" spans="2:12">
      <c r="B15" s="8"/>
      <c r="C15" s="5" t="s">
        <v>21</v>
      </c>
      <c r="D15" s="5" t="s">
        <v>17</v>
      </c>
      <c r="E15" s="7"/>
      <c r="F15" s="5">
        <f t="shared" si="4"/>
        <v>680</v>
      </c>
      <c r="G15" s="5">
        <v>589</v>
      </c>
      <c r="H15" s="5">
        <v>0</v>
      </c>
      <c r="I15" s="13">
        <f t="shared" si="0"/>
        <v>0.866176470588235</v>
      </c>
      <c r="J15" s="18"/>
      <c r="K15" s="8"/>
      <c r="L15" s="14"/>
    </row>
    <row r="16" s="1" customFormat="1" ht="18" customHeight="1" spans="2:12">
      <c r="B16" s="6">
        <v>8</v>
      </c>
      <c r="C16" s="5" t="s">
        <v>22</v>
      </c>
      <c r="D16" s="5" t="s">
        <v>13</v>
      </c>
      <c r="E16" s="7"/>
      <c r="F16" s="5">
        <f t="shared" si="4"/>
        <v>680</v>
      </c>
      <c r="G16" s="5">
        <v>373</v>
      </c>
      <c r="H16" s="5">
        <v>0</v>
      </c>
      <c r="I16" s="13">
        <f t="shared" si="0"/>
        <v>0.548529411764706</v>
      </c>
      <c r="J16" s="17">
        <f t="shared" si="3"/>
        <v>657</v>
      </c>
      <c r="K16" s="6">
        <f t="shared" si="5"/>
        <v>2659</v>
      </c>
      <c r="L16" s="15" t="s">
        <v>23</v>
      </c>
    </row>
    <row r="17" s="1" customFormat="1" ht="18" customHeight="1" spans="2:12">
      <c r="B17" s="8"/>
      <c r="C17" s="5" t="s">
        <v>22</v>
      </c>
      <c r="D17" s="5" t="s">
        <v>17</v>
      </c>
      <c r="E17" s="7"/>
      <c r="F17" s="5">
        <f t="shared" si="4"/>
        <v>680</v>
      </c>
      <c r="G17" s="5">
        <v>284</v>
      </c>
      <c r="H17" s="5">
        <v>0</v>
      </c>
      <c r="I17" s="13">
        <f t="shared" si="0"/>
        <v>0.417647058823529</v>
      </c>
      <c r="J17" s="18"/>
      <c r="K17" s="8"/>
      <c r="L17" s="19"/>
    </row>
    <row r="18" s="1" customFormat="1" spans="2:12">
      <c r="B18" s="6">
        <v>9</v>
      </c>
      <c r="C18" s="5" t="s">
        <v>24</v>
      </c>
      <c r="D18" s="5" t="s">
        <v>13</v>
      </c>
      <c r="E18" s="7"/>
      <c r="F18" s="5">
        <f t="shared" si="4"/>
        <v>680</v>
      </c>
      <c r="G18" s="5">
        <v>631</v>
      </c>
      <c r="H18" s="5">
        <v>0</v>
      </c>
      <c r="I18" s="13">
        <f t="shared" si="0"/>
        <v>0.927941176470588</v>
      </c>
      <c r="J18" s="17">
        <f t="shared" ref="J18:J22" si="6">G18+G19</f>
        <v>1259</v>
      </c>
      <c r="K18" s="6">
        <f t="shared" si="5"/>
        <v>3918</v>
      </c>
      <c r="L18" s="15" t="s">
        <v>25</v>
      </c>
    </row>
    <row r="19" s="1" customFormat="1" spans="2:12">
      <c r="B19" s="8"/>
      <c r="C19" s="5" t="s">
        <v>24</v>
      </c>
      <c r="D19" s="5" t="s">
        <v>17</v>
      </c>
      <c r="E19" s="7"/>
      <c r="F19" s="5">
        <f t="shared" si="4"/>
        <v>680</v>
      </c>
      <c r="G19" s="5">
        <v>628</v>
      </c>
      <c r="H19" s="5">
        <v>0</v>
      </c>
      <c r="I19" s="13">
        <f t="shared" si="0"/>
        <v>0.923529411764706</v>
      </c>
      <c r="J19" s="18"/>
      <c r="K19" s="8"/>
      <c r="L19" s="19"/>
    </row>
    <row r="20" s="1" customFormat="1" spans="2:12">
      <c r="B20" s="6">
        <v>10</v>
      </c>
      <c r="C20" s="5" t="s">
        <v>26</v>
      </c>
      <c r="D20" s="5" t="s">
        <v>13</v>
      </c>
      <c r="E20" s="7"/>
      <c r="F20" s="5">
        <v>231</v>
      </c>
      <c r="G20" s="5">
        <v>231</v>
      </c>
      <c r="H20" s="5">
        <v>0</v>
      </c>
      <c r="I20" s="13">
        <f t="shared" si="0"/>
        <v>1</v>
      </c>
      <c r="J20" s="17">
        <f t="shared" si="6"/>
        <v>464</v>
      </c>
      <c r="K20" s="6">
        <f t="shared" ref="K20:K24" si="7">K18+J20</f>
        <v>4382</v>
      </c>
      <c r="L20" s="15" t="s">
        <v>27</v>
      </c>
    </row>
    <row r="21" s="1" customFormat="1" spans="2:12">
      <c r="B21" s="8"/>
      <c r="C21" s="5" t="s">
        <v>26</v>
      </c>
      <c r="D21" s="5" t="s">
        <v>17</v>
      </c>
      <c r="E21" s="7"/>
      <c r="F21" s="5">
        <v>233</v>
      </c>
      <c r="G21" s="5">
        <v>233</v>
      </c>
      <c r="H21" s="5">
        <v>0</v>
      </c>
      <c r="I21" s="13">
        <f t="shared" si="0"/>
        <v>1</v>
      </c>
      <c r="J21" s="18"/>
      <c r="K21" s="8"/>
      <c r="L21" s="19"/>
    </row>
    <row r="22" s="1" customFormat="1" spans="2:12">
      <c r="B22" s="6">
        <v>11</v>
      </c>
      <c r="C22" s="5" t="s">
        <v>28</v>
      </c>
      <c r="D22" s="5" t="s">
        <v>13</v>
      </c>
      <c r="E22" s="7"/>
      <c r="F22" s="5">
        <f t="shared" ref="F22:F27" si="8">3600/45*8.5</f>
        <v>680</v>
      </c>
      <c r="G22" s="5">
        <v>671</v>
      </c>
      <c r="H22" s="5">
        <v>0</v>
      </c>
      <c r="I22" s="13">
        <f t="shared" si="0"/>
        <v>0.986764705882353</v>
      </c>
      <c r="J22" s="17">
        <f t="shared" si="6"/>
        <v>1342</v>
      </c>
      <c r="K22" s="6">
        <f t="shared" si="7"/>
        <v>5724</v>
      </c>
      <c r="L22" s="20" t="s">
        <v>29</v>
      </c>
    </row>
    <row r="23" s="1" customFormat="1" spans="2:12">
      <c r="B23" s="8"/>
      <c r="C23" s="5" t="s">
        <v>28</v>
      </c>
      <c r="D23" s="5" t="s">
        <v>17</v>
      </c>
      <c r="E23" s="7"/>
      <c r="F23" s="5">
        <f t="shared" si="8"/>
        <v>680</v>
      </c>
      <c r="G23" s="5">
        <v>671</v>
      </c>
      <c r="H23" s="5">
        <v>0</v>
      </c>
      <c r="I23" s="13">
        <f t="shared" si="0"/>
        <v>0.986764705882353</v>
      </c>
      <c r="J23" s="18"/>
      <c r="K23" s="8"/>
      <c r="L23" s="21"/>
    </row>
    <row r="24" s="1" customFormat="1" spans="2:12">
      <c r="B24" s="6">
        <v>12</v>
      </c>
      <c r="C24" s="5" t="s">
        <v>30</v>
      </c>
      <c r="D24" s="5" t="s">
        <v>13</v>
      </c>
      <c r="E24" s="7"/>
      <c r="F24" s="5">
        <f t="shared" si="8"/>
        <v>680</v>
      </c>
      <c r="G24" s="5">
        <v>500</v>
      </c>
      <c r="H24" s="5">
        <v>0</v>
      </c>
      <c r="I24" s="13">
        <f t="shared" si="0"/>
        <v>0.735294117647059</v>
      </c>
      <c r="J24" s="17">
        <f t="shared" ref="J24:J28" si="9">G24+G25</f>
        <v>994</v>
      </c>
      <c r="K24" s="6">
        <f t="shared" si="7"/>
        <v>6718</v>
      </c>
      <c r="L24" s="15" t="s">
        <v>31</v>
      </c>
    </row>
    <row r="25" s="1" customFormat="1" spans="2:12">
      <c r="B25" s="8"/>
      <c r="C25" s="5" t="s">
        <v>30</v>
      </c>
      <c r="D25" s="5" t="s">
        <v>17</v>
      </c>
      <c r="E25" s="7"/>
      <c r="F25" s="5">
        <f t="shared" si="8"/>
        <v>680</v>
      </c>
      <c r="G25" s="5">
        <v>494</v>
      </c>
      <c r="H25" s="5">
        <v>0</v>
      </c>
      <c r="I25" s="13">
        <f t="shared" si="0"/>
        <v>0.726470588235294</v>
      </c>
      <c r="J25" s="18"/>
      <c r="K25" s="8"/>
      <c r="L25" s="19"/>
    </row>
    <row r="26" s="1" customFormat="1" spans="2:12">
      <c r="B26" s="6">
        <v>13</v>
      </c>
      <c r="C26" s="5" t="s">
        <v>32</v>
      </c>
      <c r="D26" s="5" t="s">
        <v>13</v>
      </c>
      <c r="E26" s="7"/>
      <c r="F26" s="5">
        <f t="shared" si="8"/>
        <v>680</v>
      </c>
      <c r="G26" s="5">
        <v>505</v>
      </c>
      <c r="H26" s="5">
        <v>0</v>
      </c>
      <c r="I26" s="13">
        <f t="shared" si="0"/>
        <v>0.742647058823529</v>
      </c>
      <c r="J26" s="17">
        <f t="shared" si="9"/>
        <v>1010</v>
      </c>
      <c r="K26" s="6">
        <f t="shared" ref="K26:K30" si="10">K24+J26</f>
        <v>7728</v>
      </c>
      <c r="L26" s="15" t="s">
        <v>33</v>
      </c>
    </row>
    <row r="27" s="1" customFormat="1" spans="2:12">
      <c r="B27" s="8"/>
      <c r="C27" s="5" t="s">
        <v>32</v>
      </c>
      <c r="D27" s="5" t="s">
        <v>17</v>
      </c>
      <c r="E27" s="7"/>
      <c r="F27" s="5">
        <f t="shared" si="8"/>
        <v>680</v>
      </c>
      <c r="G27" s="5">
        <v>505</v>
      </c>
      <c r="H27" s="5">
        <v>0</v>
      </c>
      <c r="I27" s="13">
        <f t="shared" si="0"/>
        <v>0.742647058823529</v>
      </c>
      <c r="J27" s="18"/>
      <c r="K27" s="8"/>
      <c r="L27" s="19"/>
    </row>
    <row r="28" s="1" customFormat="1" spans="2:12">
      <c r="B28" s="6">
        <v>14</v>
      </c>
      <c r="C28" s="5" t="s">
        <v>34</v>
      </c>
      <c r="D28" s="5" t="s">
        <v>13</v>
      </c>
      <c r="E28" s="7"/>
      <c r="F28" s="5">
        <v>765</v>
      </c>
      <c r="G28" s="5">
        <v>650</v>
      </c>
      <c r="H28" s="5">
        <v>0</v>
      </c>
      <c r="I28" s="13">
        <f t="shared" si="0"/>
        <v>0.849673202614379</v>
      </c>
      <c r="J28" s="17">
        <f t="shared" si="9"/>
        <v>1300</v>
      </c>
      <c r="K28" s="6">
        <f t="shared" si="10"/>
        <v>9028</v>
      </c>
      <c r="L28" s="20" t="s">
        <v>35</v>
      </c>
    </row>
    <row r="29" s="1" customFormat="1" spans="2:12">
      <c r="B29" s="8"/>
      <c r="C29" s="5" t="s">
        <v>34</v>
      </c>
      <c r="D29" s="5" t="s">
        <v>17</v>
      </c>
      <c r="E29" s="7"/>
      <c r="F29" s="5">
        <v>765</v>
      </c>
      <c r="G29" s="5">
        <v>650</v>
      </c>
      <c r="H29" s="5">
        <v>0</v>
      </c>
      <c r="I29" s="13">
        <f t="shared" si="0"/>
        <v>0.849673202614379</v>
      </c>
      <c r="J29" s="18"/>
      <c r="K29" s="8"/>
      <c r="L29" s="21"/>
    </row>
    <row r="30" s="1" customFormat="1" spans="2:12">
      <c r="B30" s="6">
        <v>15</v>
      </c>
      <c r="C30" s="5" t="s">
        <v>36</v>
      </c>
      <c r="D30" s="5" t="s">
        <v>13</v>
      </c>
      <c r="E30" s="7"/>
      <c r="F30" s="5">
        <v>1400</v>
      </c>
      <c r="G30" s="5">
        <f>150+664</f>
        <v>814</v>
      </c>
      <c r="H30" s="5">
        <v>0</v>
      </c>
      <c r="I30" s="13">
        <f t="shared" si="0"/>
        <v>0.581428571428571</v>
      </c>
      <c r="J30" s="17">
        <f t="shared" ref="J30:J34" si="11">G30+G31</f>
        <v>1780</v>
      </c>
      <c r="K30" s="6">
        <f t="shared" si="10"/>
        <v>10808</v>
      </c>
      <c r="L30" s="15" t="s">
        <v>37</v>
      </c>
    </row>
    <row r="31" s="1" customFormat="1" spans="2:12">
      <c r="B31" s="8"/>
      <c r="C31" s="5" t="s">
        <v>36</v>
      </c>
      <c r="D31" s="5" t="s">
        <v>17</v>
      </c>
      <c r="E31" s="7"/>
      <c r="F31" s="5">
        <v>1400</v>
      </c>
      <c r="G31" s="5">
        <f>323+643</f>
        <v>966</v>
      </c>
      <c r="H31" s="5">
        <v>0</v>
      </c>
      <c r="I31" s="13">
        <f t="shared" si="0"/>
        <v>0.69</v>
      </c>
      <c r="J31" s="18"/>
      <c r="K31" s="8"/>
      <c r="L31" s="19"/>
    </row>
    <row r="32" s="1" customFormat="1" spans="2:12">
      <c r="B32" s="6">
        <v>16</v>
      </c>
      <c r="C32" s="5" t="s">
        <v>38</v>
      </c>
      <c r="D32" s="5" t="s">
        <v>13</v>
      </c>
      <c r="E32" s="7"/>
      <c r="F32" s="5">
        <v>1400</v>
      </c>
      <c r="G32" s="5">
        <v>1041</v>
      </c>
      <c r="H32" s="5">
        <v>0</v>
      </c>
      <c r="I32" s="13">
        <f t="shared" si="0"/>
        <v>0.743571428571429</v>
      </c>
      <c r="J32" s="17">
        <f t="shared" si="11"/>
        <v>2412</v>
      </c>
      <c r="K32" s="6">
        <f t="shared" ref="K32:K36" si="12">K30+J32</f>
        <v>13220</v>
      </c>
      <c r="L32" s="15" t="s">
        <v>39</v>
      </c>
    </row>
    <row r="33" s="1" customFormat="1" spans="2:12">
      <c r="B33" s="8"/>
      <c r="C33" s="5" t="s">
        <v>38</v>
      </c>
      <c r="D33" s="5" t="s">
        <v>17</v>
      </c>
      <c r="E33" s="7"/>
      <c r="F33" s="5">
        <v>1400</v>
      </c>
      <c r="G33" s="5">
        <v>1371</v>
      </c>
      <c r="H33" s="5">
        <v>0</v>
      </c>
      <c r="I33" s="13">
        <f t="shared" si="0"/>
        <v>0.979285714285714</v>
      </c>
      <c r="J33" s="18"/>
      <c r="K33" s="8"/>
      <c r="L33" s="19"/>
    </row>
    <row r="34" s="1" customFormat="1" spans="2:12">
      <c r="B34" s="6">
        <v>17</v>
      </c>
      <c r="C34" s="5" t="s">
        <v>40</v>
      </c>
      <c r="D34" s="5" t="s">
        <v>13</v>
      </c>
      <c r="E34" s="7"/>
      <c r="F34" s="5">
        <v>1400</v>
      </c>
      <c r="G34" s="5">
        <v>1335</v>
      </c>
      <c r="H34" s="5">
        <v>0</v>
      </c>
      <c r="I34" s="13">
        <f t="shared" si="0"/>
        <v>0.953571428571429</v>
      </c>
      <c r="J34" s="17">
        <f t="shared" si="11"/>
        <v>2616</v>
      </c>
      <c r="K34" s="22">
        <f t="shared" si="12"/>
        <v>15836</v>
      </c>
      <c r="L34" s="15"/>
    </row>
    <row r="35" s="1" customFormat="1" spans="2:12">
      <c r="B35" s="8"/>
      <c r="C35" s="5" t="s">
        <v>40</v>
      </c>
      <c r="D35" s="5" t="s">
        <v>17</v>
      </c>
      <c r="E35" s="7"/>
      <c r="F35" s="5">
        <v>1400</v>
      </c>
      <c r="G35" s="5">
        <v>1281</v>
      </c>
      <c r="H35" s="5">
        <v>0</v>
      </c>
      <c r="I35" s="13">
        <f t="shared" si="0"/>
        <v>0.915</v>
      </c>
      <c r="J35" s="18"/>
      <c r="K35" s="23"/>
      <c r="L35" s="19"/>
    </row>
    <row r="36" s="1" customFormat="1" spans="2:12">
      <c r="B36" s="6">
        <v>18</v>
      </c>
      <c r="C36" s="5" t="s">
        <v>41</v>
      </c>
      <c r="D36" s="5" t="s">
        <v>13</v>
      </c>
      <c r="E36" s="7"/>
      <c r="F36" s="5">
        <v>1400</v>
      </c>
      <c r="G36" s="5">
        <v>1234</v>
      </c>
      <c r="H36" s="5">
        <v>0</v>
      </c>
      <c r="I36" s="13">
        <f t="shared" si="0"/>
        <v>0.881428571428571</v>
      </c>
      <c r="J36" s="17">
        <f t="shared" ref="J36:J40" si="13">G36+G37</f>
        <v>1834</v>
      </c>
      <c r="K36" s="22">
        <f t="shared" si="12"/>
        <v>17670</v>
      </c>
      <c r="L36" s="15" t="s">
        <v>42</v>
      </c>
    </row>
    <row r="37" s="1" customFormat="1" spans="2:12">
      <c r="B37" s="8"/>
      <c r="C37" s="5" t="s">
        <v>41</v>
      </c>
      <c r="D37" s="5" t="s">
        <v>17</v>
      </c>
      <c r="E37" s="7"/>
      <c r="F37" s="5">
        <v>1400</v>
      </c>
      <c r="G37" s="5">
        <v>600</v>
      </c>
      <c r="H37" s="5">
        <v>0</v>
      </c>
      <c r="I37" s="13">
        <f t="shared" si="0"/>
        <v>0.428571428571429</v>
      </c>
      <c r="J37" s="18"/>
      <c r="K37" s="23"/>
      <c r="L37" s="19"/>
    </row>
    <row r="38" s="1" customFormat="1" spans="2:12">
      <c r="B38" s="6">
        <v>19</v>
      </c>
      <c r="C38" s="5" t="s">
        <v>43</v>
      </c>
      <c r="D38" s="5" t="s">
        <v>13</v>
      </c>
      <c r="E38" s="7"/>
      <c r="F38" s="5">
        <v>1400</v>
      </c>
      <c r="G38" s="5">
        <v>1310</v>
      </c>
      <c r="H38" s="5">
        <v>0</v>
      </c>
      <c r="I38" s="13">
        <f t="shared" si="0"/>
        <v>0.935714285714286</v>
      </c>
      <c r="J38" s="17">
        <f t="shared" si="13"/>
        <v>2570</v>
      </c>
      <c r="K38" s="22">
        <f t="shared" ref="K38:K42" si="14">K36+J38</f>
        <v>20240</v>
      </c>
      <c r="L38" s="15"/>
    </row>
    <row r="39" s="1" customFormat="1" spans="2:12">
      <c r="B39" s="8"/>
      <c r="C39" s="5" t="s">
        <v>43</v>
      </c>
      <c r="D39" s="5" t="s">
        <v>17</v>
      </c>
      <c r="E39" s="7"/>
      <c r="F39" s="5">
        <v>1400</v>
      </c>
      <c r="G39" s="5">
        <v>1260</v>
      </c>
      <c r="H39" s="5">
        <v>0</v>
      </c>
      <c r="I39" s="13">
        <f t="shared" si="0"/>
        <v>0.9</v>
      </c>
      <c r="J39" s="18"/>
      <c r="K39" s="23"/>
      <c r="L39" s="19"/>
    </row>
    <row r="40" s="1" customFormat="1" spans="2:12">
      <c r="B40" s="6">
        <v>20</v>
      </c>
      <c r="C40" s="5" t="s">
        <v>44</v>
      </c>
      <c r="D40" s="5" t="s">
        <v>13</v>
      </c>
      <c r="E40" s="7"/>
      <c r="F40" s="5">
        <v>1400</v>
      </c>
      <c r="G40" s="5">
        <v>1292</v>
      </c>
      <c r="H40" s="5">
        <v>0</v>
      </c>
      <c r="I40" s="13">
        <f t="shared" si="0"/>
        <v>0.922857142857143</v>
      </c>
      <c r="J40" s="17">
        <f t="shared" si="13"/>
        <v>2518</v>
      </c>
      <c r="K40" s="22">
        <f t="shared" si="14"/>
        <v>22758</v>
      </c>
      <c r="L40" s="15" t="s">
        <v>45</v>
      </c>
    </row>
    <row r="41" s="1" customFormat="1" spans="2:12">
      <c r="B41" s="8"/>
      <c r="C41" s="5" t="s">
        <v>44</v>
      </c>
      <c r="D41" s="5" t="s">
        <v>17</v>
      </c>
      <c r="E41" s="7"/>
      <c r="F41" s="5">
        <v>1400</v>
      </c>
      <c r="G41" s="5">
        <f>550+676</f>
        <v>1226</v>
      </c>
      <c r="H41" s="5">
        <v>0</v>
      </c>
      <c r="I41" s="13">
        <f t="shared" si="0"/>
        <v>0.875714285714286</v>
      </c>
      <c r="J41" s="18"/>
      <c r="K41" s="23"/>
      <c r="L41" s="19"/>
    </row>
    <row r="42" s="1" customFormat="1" spans="2:12">
      <c r="B42" s="6">
        <v>21</v>
      </c>
      <c r="C42" s="5" t="s">
        <v>46</v>
      </c>
      <c r="D42" s="5" t="s">
        <v>13</v>
      </c>
      <c r="E42" s="7"/>
      <c r="F42" s="5">
        <v>1400</v>
      </c>
      <c r="G42" s="5">
        <v>1151</v>
      </c>
      <c r="H42" s="5">
        <v>0</v>
      </c>
      <c r="I42" s="13">
        <f t="shared" si="0"/>
        <v>0.822142857142857</v>
      </c>
      <c r="J42" s="17">
        <f t="shared" ref="J42:J46" si="15">G42+G43</f>
        <v>2192</v>
      </c>
      <c r="K42" s="22">
        <f t="shared" si="14"/>
        <v>24950</v>
      </c>
      <c r="L42" s="15" t="s">
        <v>37</v>
      </c>
    </row>
    <row r="43" s="1" customFormat="1" spans="2:12">
      <c r="B43" s="8"/>
      <c r="C43" s="5" t="s">
        <v>46</v>
      </c>
      <c r="D43" s="5" t="s">
        <v>17</v>
      </c>
      <c r="E43" s="7"/>
      <c r="F43" s="5">
        <v>1400</v>
      </c>
      <c r="G43" s="5">
        <v>1041</v>
      </c>
      <c r="H43" s="5">
        <v>0</v>
      </c>
      <c r="I43" s="13">
        <f t="shared" si="0"/>
        <v>0.743571428571429</v>
      </c>
      <c r="J43" s="18"/>
      <c r="K43" s="23"/>
      <c r="L43" s="19"/>
    </row>
    <row r="44" s="1" customFormat="1" spans="2:12">
      <c r="B44" s="6">
        <v>22</v>
      </c>
      <c r="C44" s="5" t="s">
        <v>47</v>
      </c>
      <c r="D44" s="5" t="s">
        <v>13</v>
      </c>
      <c r="E44" s="7"/>
      <c r="F44" s="5">
        <v>1400</v>
      </c>
      <c r="G44" s="5">
        <v>1212</v>
      </c>
      <c r="H44" s="5">
        <v>0</v>
      </c>
      <c r="I44" s="13">
        <f t="shared" si="0"/>
        <v>0.865714285714286</v>
      </c>
      <c r="J44" s="17">
        <f t="shared" si="15"/>
        <v>2497</v>
      </c>
      <c r="K44" s="22">
        <f t="shared" ref="K44:K48" si="16">K42+J44</f>
        <v>27447</v>
      </c>
      <c r="L44" s="15" t="s">
        <v>37</v>
      </c>
    </row>
    <row r="45" s="1" customFormat="1" spans="2:12">
      <c r="B45" s="8"/>
      <c r="C45" s="5" t="s">
        <v>47</v>
      </c>
      <c r="D45" s="5" t="s">
        <v>17</v>
      </c>
      <c r="E45" s="7"/>
      <c r="F45" s="5">
        <v>1400</v>
      </c>
      <c r="G45" s="5">
        <v>1285</v>
      </c>
      <c r="H45" s="5">
        <v>0</v>
      </c>
      <c r="I45" s="13">
        <f t="shared" si="0"/>
        <v>0.917857142857143</v>
      </c>
      <c r="J45" s="18"/>
      <c r="K45" s="23"/>
      <c r="L45" s="19"/>
    </row>
    <row r="46" s="2" customFormat="1" spans="2:12">
      <c r="B46" s="9">
        <v>23</v>
      </c>
      <c r="C46" s="10" t="s">
        <v>48</v>
      </c>
      <c r="D46" s="10" t="s">
        <v>13</v>
      </c>
      <c r="E46" s="7"/>
      <c r="F46" s="10">
        <v>1828</v>
      </c>
      <c r="G46" s="10">
        <v>1870</v>
      </c>
      <c r="H46" s="10">
        <v>0</v>
      </c>
      <c r="I46" s="24">
        <f t="shared" si="0"/>
        <v>1.02297592997812</v>
      </c>
      <c r="J46" s="25">
        <f t="shared" si="15"/>
        <v>3709</v>
      </c>
      <c r="K46" s="9">
        <f t="shared" si="16"/>
        <v>31156</v>
      </c>
      <c r="L46" s="26" t="s">
        <v>49</v>
      </c>
    </row>
    <row r="47" s="2" customFormat="1" spans="2:12">
      <c r="B47" s="11"/>
      <c r="C47" s="10" t="s">
        <v>48</v>
      </c>
      <c r="D47" s="10" t="s">
        <v>17</v>
      </c>
      <c r="E47" s="7"/>
      <c r="F47" s="10">
        <v>1828</v>
      </c>
      <c r="G47" s="10">
        <v>1839</v>
      </c>
      <c r="H47" s="10">
        <v>0</v>
      </c>
      <c r="I47" s="24">
        <f t="shared" si="0"/>
        <v>1.00601750547046</v>
      </c>
      <c r="J47" s="27"/>
      <c r="K47" s="11"/>
      <c r="L47" s="28"/>
    </row>
    <row r="48" s="1" customFormat="1" spans="2:12">
      <c r="B48" s="6">
        <v>24</v>
      </c>
      <c r="C48" s="5" t="s">
        <v>50</v>
      </c>
      <c r="D48" s="5" t="s">
        <v>13</v>
      </c>
      <c r="E48" s="7"/>
      <c r="F48" s="5">
        <v>700</v>
      </c>
      <c r="G48" s="5">
        <v>596</v>
      </c>
      <c r="H48" s="5">
        <v>0</v>
      </c>
      <c r="I48" s="13">
        <f t="shared" si="0"/>
        <v>0.851428571428571</v>
      </c>
      <c r="J48" s="17">
        <f t="shared" ref="J48:J52" si="17">G48+G49</f>
        <v>1171</v>
      </c>
      <c r="K48" s="22">
        <f t="shared" si="16"/>
        <v>32327</v>
      </c>
      <c r="L48" s="15" t="s">
        <v>51</v>
      </c>
    </row>
    <row r="49" s="1" customFormat="1" spans="2:12">
      <c r="B49" s="8"/>
      <c r="C49" s="5" t="s">
        <v>50</v>
      </c>
      <c r="D49" s="5" t="s">
        <v>17</v>
      </c>
      <c r="E49" s="7"/>
      <c r="F49" s="5">
        <v>700</v>
      </c>
      <c r="G49" s="5">
        <v>575</v>
      </c>
      <c r="H49" s="5">
        <v>0</v>
      </c>
      <c r="I49" s="13">
        <f t="shared" si="0"/>
        <v>0.821428571428571</v>
      </c>
      <c r="J49" s="18"/>
      <c r="K49" s="23"/>
      <c r="L49" s="19"/>
    </row>
    <row r="50" s="1" customFormat="1" spans="2:12">
      <c r="B50" s="6">
        <v>25</v>
      </c>
      <c r="C50" s="5" t="s">
        <v>52</v>
      </c>
      <c r="D50" s="5" t="s">
        <v>13</v>
      </c>
      <c r="E50" s="7"/>
      <c r="F50" s="5">
        <v>1828</v>
      </c>
      <c r="G50" s="5">
        <v>1681</v>
      </c>
      <c r="H50" s="5">
        <v>0</v>
      </c>
      <c r="I50" s="13">
        <f t="shared" si="0"/>
        <v>0.919584245076586</v>
      </c>
      <c r="J50" s="17">
        <f t="shared" si="17"/>
        <v>3311</v>
      </c>
      <c r="K50" s="22">
        <f t="shared" ref="K50:K54" si="18">K48+J50</f>
        <v>35638</v>
      </c>
      <c r="L50" s="15" t="s">
        <v>53</v>
      </c>
    </row>
    <row r="51" s="1" customFormat="1" spans="2:12">
      <c r="B51" s="8"/>
      <c r="C51" s="5" t="s">
        <v>52</v>
      </c>
      <c r="D51" s="5" t="s">
        <v>17</v>
      </c>
      <c r="E51" s="7"/>
      <c r="F51" s="5">
        <v>1828</v>
      </c>
      <c r="G51" s="5">
        <v>1630</v>
      </c>
      <c r="H51" s="5">
        <v>0</v>
      </c>
      <c r="I51" s="13">
        <f t="shared" si="0"/>
        <v>0.891684901531729</v>
      </c>
      <c r="J51" s="18"/>
      <c r="K51" s="23"/>
      <c r="L51" s="19"/>
    </row>
    <row r="52" s="1" customFormat="1" spans="2:12">
      <c r="B52" s="6">
        <v>26</v>
      </c>
      <c r="C52" s="5" t="s">
        <v>54</v>
      </c>
      <c r="D52" s="5" t="s">
        <v>13</v>
      </c>
      <c r="E52" s="7"/>
      <c r="F52" s="5">
        <v>1828</v>
      </c>
      <c r="G52" s="5">
        <v>1863</v>
      </c>
      <c r="H52" s="5">
        <v>0</v>
      </c>
      <c r="I52" s="13">
        <f t="shared" si="0"/>
        <v>1.0191466083151</v>
      </c>
      <c r="J52" s="17">
        <f t="shared" si="17"/>
        <v>3730</v>
      </c>
      <c r="K52" s="22">
        <f t="shared" si="18"/>
        <v>39368</v>
      </c>
      <c r="L52" s="15"/>
    </row>
    <row r="53" s="1" customFormat="1" spans="2:12">
      <c r="B53" s="8"/>
      <c r="C53" s="5" t="s">
        <v>54</v>
      </c>
      <c r="D53" s="5" t="s">
        <v>17</v>
      </c>
      <c r="E53" s="7"/>
      <c r="F53" s="5">
        <v>1828</v>
      </c>
      <c r="G53" s="5">
        <v>1867</v>
      </c>
      <c r="H53" s="5">
        <v>0</v>
      </c>
      <c r="I53" s="13">
        <f t="shared" si="0"/>
        <v>1.02133479212254</v>
      </c>
      <c r="J53" s="18"/>
      <c r="K53" s="23"/>
      <c r="L53" s="19"/>
    </row>
    <row r="54" s="1" customFormat="1" spans="2:12">
      <c r="B54" s="6">
        <v>27</v>
      </c>
      <c r="C54" s="5" t="s">
        <v>55</v>
      </c>
      <c r="D54" s="5" t="s">
        <v>13</v>
      </c>
      <c r="E54" s="7"/>
      <c r="F54" s="5">
        <v>1828</v>
      </c>
      <c r="G54" s="5">
        <v>1878</v>
      </c>
      <c r="H54" s="5">
        <v>0</v>
      </c>
      <c r="I54" s="13">
        <f t="shared" si="0"/>
        <v>1.027352297593</v>
      </c>
      <c r="J54" s="17">
        <f t="shared" ref="J54:J58" si="19">G54+G55</f>
        <v>3664</v>
      </c>
      <c r="K54" s="22">
        <f t="shared" si="18"/>
        <v>43032</v>
      </c>
      <c r="L54" s="15" t="s">
        <v>56</v>
      </c>
    </row>
    <row r="55" s="1" customFormat="1" spans="2:12">
      <c r="B55" s="8"/>
      <c r="C55" s="5" t="s">
        <v>55</v>
      </c>
      <c r="D55" s="5" t="s">
        <v>17</v>
      </c>
      <c r="E55" s="7"/>
      <c r="F55" s="5">
        <v>1828</v>
      </c>
      <c r="G55" s="5">
        <v>1786</v>
      </c>
      <c r="H55" s="5">
        <v>0</v>
      </c>
      <c r="I55" s="13">
        <f t="shared" si="0"/>
        <v>0.977024070021882</v>
      </c>
      <c r="J55" s="18"/>
      <c r="K55" s="23"/>
      <c r="L55" s="19"/>
    </row>
    <row r="56" s="1" customFormat="1" ht="25" customHeight="1" spans="2:12">
      <c r="B56" s="6">
        <v>28</v>
      </c>
      <c r="C56" s="5" t="s">
        <v>57</v>
      </c>
      <c r="D56" s="5" t="s">
        <v>13</v>
      </c>
      <c r="E56" s="7"/>
      <c r="F56" s="5">
        <v>1400</v>
      </c>
      <c r="G56" s="5">
        <v>1364</v>
      </c>
      <c r="H56" s="5">
        <v>0</v>
      </c>
      <c r="I56" s="13">
        <f t="shared" si="0"/>
        <v>0.974285714285714</v>
      </c>
      <c r="J56" s="17">
        <f t="shared" si="19"/>
        <v>3217</v>
      </c>
      <c r="K56" s="22">
        <f t="shared" ref="K56:K60" si="20">K54+J56</f>
        <v>46249</v>
      </c>
      <c r="L56" s="15" t="s">
        <v>58</v>
      </c>
    </row>
    <row r="57" s="1" customFormat="1" ht="25" customHeight="1" spans="2:12">
      <c r="B57" s="8"/>
      <c r="C57" s="5" t="s">
        <v>57</v>
      </c>
      <c r="D57" s="5" t="s">
        <v>17</v>
      </c>
      <c r="E57" s="7"/>
      <c r="F57" s="5">
        <v>1828</v>
      </c>
      <c r="G57" s="5">
        <v>1853</v>
      </c>
      <c r="H57" s="5">
        <v>0</v>
      </c>
      <c r="I57" s="13">
        <f t="shared" si="0"/>
        <v>1.0136761487965</v>
      </c>
      <c r="J57" s="18"/>
      <c r="K57" s="23"/>
      <c r="L57" s="19"/>
    </row>
    <row r="58" s="1" customFormat="1" ht="25" customHeight="1" spans="2:12">
      <c r="B58" s="6">
        <v>29</v>
      </c>
      <c r="C58" s="5" t="s">
        <v>59</v>
      </c>
      <c r="D58" s="5" t="s">
        <v>13</v>
      </c>
      <c r="E58" s="7"/>
      <c r="F58" s="5">
        <v>1828</v>
      </c>
      <c r="G58" s="5">
        <v>1770</v>
      </c>
      <c r="H58" s="5">
        <v>0</v>
      </c>
      <c r="I58" s="13">
        <f t="shared" si="0"/>
        <v>0.968271334792123</v>
      </c>
      <c r="J58" s="17">
        <f t="shared" si="19"/>
        <v>3526</v>
      </c>
      <c r="K58" s="22">
        <f t="shared" si="20"/>
        <v>49775</v>
      </c>
      <c r="L58" s="15"/>
    </row>
    <row r="59" s="1" customFormat="1" ht="25" customHeight="1" spans="2:12">
      <c r="B59" s="8"/>
      <c r="C59" s="5" t="s">
        <v>59</v>
      </c>
      <c r="D59" s="5" t="s">
        <v>17</v>
      </c>
      <c r="E59" s="7"/>
      <c r="F59" s="5">
        <v>1828</v>
      </c>
      <c r="G59" s="5">
        <v>1756</v>
      </c>
      <c r="H59" s="5">
        <v>0</v>
      </c>
      <c r="I59" s="13">
        <f t="shared" si="0"/>
        <v>0.960612691466083</v>
      </c>
      <c r="J59" s="18"/>
      <c r="K59" s="23"/>
      <c r="L59" s="19"/>
    </row>
    <row r="60" s="1" customFormat="1" ht="25" customHeight="1" spans="2:12">
      <c r="B60" s="6">
        <v>30</v>
      </c>
      <c r="C60" s="5" t="s">
        <v>60</v>
      </c>
      <c r="D60" s="5" t="s">
        <v>13</v>
      </c>
      <c r="E60" s="7"/>
      <c r="F60" s="5">
        <v>1828</v>
      </c>
      <c r="G60" s="5">
        <v>1285</v>
      </c>
      <c r="H60" s="5">
        <v>0</v>
      </c>
      <c r="I60" s="13">
        <f t="shared" si="0"/>
        <v>0.702954048140044</v>
      </c>
      <c r="J60" s="17">
        <f t="shared" ref="J60:J64" si="21">G60+G61</f>
        <v>2574</v>
      </c>
      <c r="K60" s="22">
        <f t="shared" si="20"/>
        <v>52349</v>
      </c>
      <c r="L60" s="15" t="s">
        <v>61</v>
      </c>
    </row>
    <row r="61" s="1" customFormat="1" ht="25" customHeight="1" spans="2:12">
      <c r="B61" s="8"/>
      <c r="C61" s="5" t="s">
        <v>60</v>
      </c>
      <c r="D61" s="5" t="s">
        <v>17</v>
      </c>
      <c r="E61" s="7"/>
      <c r="F61" s="5">
        <v>1828</v>
      </c>
      <c r="G61" s="5">
        <v>1289</v>
      </c>
      <c r="H61" s="5">
        <v>0</v>
      </c>
      <c r="I61" s="13">
        <f t="shared" si="0"/>
        <v>0.705142231947484</v>
      </c>
      <c r="J61" s="18"/>
      <c r="K61" s="23"/>
      <c r="L61" s="19"/>
    </row>
    <row r="62" s="1" customFormat="1" ht="25" customHeight="1" spans="2:12">
      <c r="B62" s="6">
        <v>31</v>
      </c>
      <c r="C62" s="5" t="s">
        <v>62</v>
      </c>
      <c r="D62" s="5" t="s">
        <v>13</v>
      </c>
      <c r="E62" s="7"/>
      <c r="F62" s="5">
        <v>700</v>
      </c>
      <c r="G62" s="5">
        <v>680</v>
      </c>
      <c r="H62" s="5">
        <v>0</v>
      </c>
      <c r="I62" s="13">
        <f t="shared" si="0"/>
        <v>0.971428571428571</v>
      </c>
      <c r="J62" s="17">
        <f t="shared" si="21"/>
        <v>1362</v>
      </c>
      <c r="K62" s="22">
        <f t="shared" ref="K62:K66" si="22">K60+J62</f>
        <v>53711</v>
      </c>
      <c r="L62" s="15"/>
    </row>
    <row r="63" s="1" customFormat="1" ht="25" customHeight="1" spans="2:12">
      <c r="B63" s="8"/>
      <c r="C63" s="5">
        <v>2308.2026</v>
      </c>
      <c r="D63" s="5" t="s">
        <v>17</v>
      </c>
      <c r="E63" s="7"/>
      <c r="F63" s="5">
        <v>700</v>
      </c>
      <c r="G63" s="5">
        <v>682</v>
      </c>
      <c r="H63" s="5">
        <v>0</v>
      </c>
      <c r="I63" s="13">
        <f t="shared" si="0"/>
        <v>0.974285714285714</v>
      </c>
      <c r="J63" s="18"/>
      <c r="K63" s="23"/>
      <c r="L63" s="19"/>
    </row>
    <row r="64" s="1" customFormat="1" ht="25" customHeight="1" spans="2:12">
      <c r="B64" s="6">
        <v>32</v>
      </c>
      <c r="C64" s="5" t="s">
        <v>63</v>
      </c>
      <c r="D64" s="5" t="s">
        <v>13</v>
      </c>
      <c r="E64" s="7"/>
      <c r="F64" s="5">
        <v>1828</v>
      </c>
      <c r="G64" s="5">
        <v>1735</v>
      </c>
      <c r="H64" s="5">
        <v>0</v>
      </c>
      <c r="I64" s="13">
        <f t="shared" si="0"/>
        <v>0.949124726477024</v>
      </c>
      <c r="J64" s="17">
        <f t="shared" si="21"/>
        <v>3604</v>
      </c>
      <c r="K64" s="22">
        <f t="shared" si="22"/>
        <v>57315</v>
      </c>
      <c r="L64" s="15" t="s">
        <v>64</v>
      </c>
    </row>
    <row r="65" s="1" customFormat="1" ht="25" customHeight="1" spans="2:12">
      <c r="B65" s="8"/>
      <c r="C65" s="5" t="s">
        <v>63</v>
      </c>
      <c r="D65" s="5" t="s">
        <v>17</v>
      </c>
      <c r="E65" s="7"/>
      <c r="F65" s="5">
        <v>1828</v>
      </c>
      <c r="G65" s="5">
        <v>1869</v>
      </c>
      <c r="H65" s="5">
        <v>0</v>
      </c>
      <c r="I65" s="13">
        <f t="shared" si="0"/>
        <v>1.02242888402626</v>
      </c>
      <c r="J65" s="18"/>
      <c r="K65" s="23"/>
      <c r="L65" s="19"/>
    </row>
    <row r="66" s="1" customFormat="1" ht="25" customHeight="1" spans="2:12">
      <c r="B66" s="6">
        <v>33</v>
      </c>
      <c r="C66" s="5" t="s">
        <v>65</v>
      </c>
      <c r="D66" s="5" t="s">
        <v>13</v>
      </c>
      <c r="E66" s="7"/>
      <c r="F66" s="5">
        <v>1828</v>
      </c>
      <c r="G66" s="5">
        <v>1861</v>
      </c>
      <c r="H66" s="5">
        <v>0</v>
      </c>
      <c r="I66" s="13">
        <f t="shared" si="0"/>
        <v>1.01805251641138</v>
      </c>
      <c r="J66" s="17">
        <f t="shared" ref="J66:J70" si="23">G66+G67</f>
        <v>3733</v>
      </c>
      <c r="K66" s="22">
        <f t="shared" si="22"/>
        <v>61048</v>
      </c>
      <c r="L66" s="15" t="s">
        <v>64</v>
      </c>
    </row>
    <row r="67" s="1" customFormat="1" ht="25" customHeight="1" spans="2:12">
      <c r="B67" s="8"/>
      <c r="C67" s="5" t="s">
        <v>65</v>
      </c>
      <c r="D67" s="5" t="s">
        <v>17</v>
      </c>
      <c r="E67" s="7"/>
      <c r="F67" s="5">
        <v>1828</v>
      </c>
      <c r="G67" s="5">
        <v>1872</v>
      </c>
      <c r="H67" s="5">
        <v>0</v>
      </c>
      <c r="I67" s="13">
        <f t="shared" si="0"/>
        <v>1.02407002188184</v>
      </c>
      <c r="J67" s="18"/>
      <c r="K67" s="23"/>
      <c r="L67" s="19"/>
    </row>
    <row r="68" s="1" customFormat="1" ht="25" customHeight="1" spans="2:12">
      <c r="B68" s="6">
        <v>34</v>
      </c>
      <c r="C68" s="5" t="s">
        <v>66</v>
      </c>
      <c r="D68" s="5" t="s">
        <v>13</v>
      </c>
      <c r="E68" s="7"/>
      <c r="F68" s="5">
        <v>375</v>
      </c>
      <c r="G68" s="5">
        <v>375</v>
      </c>
      <c r="H68" s="5">
        <v>0</v>
      </c>
      <c r="I68" s="13">
        <f t="shared" ref="I68:I131" si="24">G68/F68</f>
        <v>1</v>
      </c>
      <c r="J68" s="17">
        <f t="shared" si="23"/>
        <v>749</v>
      </c>
      <c r="K68" s="22">
        <f t="shared" ref="K68:K72" si="25">K66+J68</f>
        <v>61797</v>
      </c>
      <c r="L68" s="15" t="s">
        <v>67</v>
      </c>
    </row>
    <row r="69" s="1" customFormat="1" ht="25" customHeight="1" spans="2:12">
      <c r="B69" s="8"/>
      <c r="C69" s="5" t="s">
        <v>66</v>
      </c>
      <c r="D69" s="5" t="s">
        <v>17</v>
      </c>
      <c r="E69" s="7"/>
      <c r="F69" s="5">
        <v>374</v>
      </c>
      <c r="G69" s="5">
        <v>374</v>
      </c>
      <c r="H69" s="5">
        <v>0</v>
      </c>
      <c r="I69" s="13">
        <f t="shared" si="24"/>
        <v>1</v>
      </c>
      <c r="J69" s="18"/>
      <c r="K69" s="23"/>
      <c r="L69" s="19"/>
    </row>
    <row r="70" s="1" customFormat="1" ht="25" customHeight="1" spans="2:12">
      <c r="B70" s="6">
        <v>35</v>
      </c>
      <c r="C70" s="5" t="s">
        <v>68</v>
      </c>
      <c r="D70" s="5" t="s">
        <v>13</v>
      </c>
      <c r="E70" s="7"/>
      <c r="F70" s="5">
        <v>1339</v>
      </c>
      <c r="G70" s="5">
        <v>1339</v>
      </c>
      <c r="H70" s="5">
        <v>0</v>
      </c>
      <c r="I70" s="13">
        <f t="shared" si="24"/>
        <v>1</v>
      </c>
      <c r="J70" s="30">
        <f t="shared" si="23"/>
        <v>1339.001</v>
      </c>
      <c r="K70" s="31">
        <f t="shared" si="25"/>
        <v>63136.001</v>
      </c>
      <c r="L70" s="15" t="s">
        <v>69</v>
      </c>
    </row>
    <row r="71" s="1" customFormat="1" ht="25" customHeight="1" spans="2:12">
      <c r="B71" s="8"/>
      <c r="C71" s="5" t="s">
        <v>68</v>
      </c>
      <c r="D71" s="5" t="s">
        <v>17</v>
      </c>
      <c r="E71" s="7"/>
      <c r="F71" s="29">
        <v>0.001</v>
      </c>
      <c r="G71" s="29">
        <v>0.001</v>
      </c>
      <c r="H71" s="5">
        <v>0</v>
      </c>
      <c r="I71" s="13">
        <f t="shared" si="24"/>
        <v>1</v>
      </c>
      <c r="J71" s="32"/>
      <c r="K71" s="33"/>
      <c r="L71" s="19"/>
    </row>
    <row r="72" s="1" customFormat="1" ht="25" customHeight="1" spans="2:12">
      <c r="B72" s="6">
        <v>36</v>
      </c>
      <c r="C72" s="5" t="s">
        <v>70</v>
      </c>
      <c r="D72" s="5" t="s">
        <v>13</v>
      </c>
      <c r="E72" s="7"/>
      <c r="F72" s="5">
        <v>1828</v>
      </c>
      <c r="G72" s="5">
        <v>1823</v>
      </c>
      <c r="H72" s="5">
        <v>0</v>
      </c>
      <c r="I72" s="13">
        <f t="shared" si="24"/>
        <v>0.9972647702407</v>
      </c>
      <c r="J72" s="30">
        <f t="shared" ref="J72:J76" si="26">G72+G73</f>
        <v>1823.001</v>
      </c>
      <c r="K72" s="31">
        <f t="shared" si="25"/>
        <v>64959.002</v>
      </c>
      <c r="L72" s="15" t="s">
        <v>71</v>
      </c>
    </row>
    <row r="73" s="1" customFormat="1" ht="25" customHeight="1" spans="2:12">
      <c r="B73" s="8"/>
      <c r="C73" s="5" t="s">
        <v>70</v>
      </c>
      <c r="D73" s="5" t="s">
        <v>17</v>
      </c>
      <c r="E73" s="8"/>
      <c r="F73" s="29">
        <v>0.001</v>
      </c>
      <c r="G73" s="29">
        <v>0.001</v>
      </c>
      <c r="H73" s="5">
        <v>0</v>
      </c>
      <c r="I73" s="13">
        <f t="shared" si="24"/>
        <v>1</v>
      </c>
      <c r="J73" s="32"/>
      <c r="K73" s="33"/>
      <c r="L73" s="19"/>
    </row>
    <row r="74" s="1" customFormat="1" ht="25" customHeight="1" spans="2:12">
      <c r="B74" s="6">
        <v>37</v>
      </c>
      <c r="C74" s="5" t="s">
        <v>72</v>
      </c>
      <c r="D74" s="5" t="s">
        <v>13</v>
      </c>
      <c r="E74" s="7"/>
      <c r="F74" s="5">
        <v>1828</v>
      </c>
      <c r="G74" s="5">
        <v>1928</v>
      </c>
      <c r="H74" s="5">
        <v>0</v>
      </c>
      <c r="I74" s="13">
        <f t="shared" si="24"/>
        <v>1.054704595186</v>
      </c>
      <c r="J74" s="30">
        <f t="shared" si="26"/>
        <v>1928.001</v>
      </c>
      <c r="K74" s="31">
        <f t="shared" ref="K74:K78" si="27">K72+J74</f>
        <v>66887.003</v>
      </c>
      <c r="L74" s="15" t="s">
        <v>73</v>
      </c>
    </row>
    <row r="75" s="1" customFormat="1" ht="25" customHeight="1" spans="2:12">
      <c r="B75" s="8"/>
      <c r="C75" s="5" t="s">
        <v>72</v>
      </c>
      <c r="D75" s="5" t="s">
        <v>17</v>
      </c>
      <c r="E75" s="8"/>
      <c r="F75" s="29">
        <v>0.001</v>
      </c>
      <c r="G75" s="29">
        <v>0.001</v>
      </c>
      <c r="H75" s="5">
        <v>0</v>
      </c>
      <c r="I75" s="13">
        <f t="shared" si="24"/>
        <v>1</v>
      </c>
      <c r="J75" s="32"/>
      <c r="K75" s="33"/>
      <c r="L75" s="19"/>
    </row>
    <row r="76" s="1" customFormat="1" ht="25" customHeight="1" spans="2:12">
      <c r="B76" s="6">
        <v>38</v>
      </c>
      <c r="C76" s="5" t="s">
        <v>74</v>
      </c>
      <c r="D76" s="5" t="s">
        <v>13</v>
      </c>
      <c r="E76" s="7"/>
      <c r="F76" s="5">
        <v>700</v>
      </c>
      <c r="G76" s="5">
        <v>700</v>
      </c>
      <c r="H76" s="5">
        <v>0</v>
      </c>
      <c r="I76" s="13">
        <f t="shared" si="24"/>
        <v>1</v>
      </c>
      <c r="J76" s="30">
        <f t="shared" si="26"/>
        <v>700.001</v>
      </c>
      <c r="K76" s="31">
        <f t="shared" si="27"/>
        <v>67587.004</v>
      </c>
      <c r="L76" s="15" t="s">
        <v>75</v>
      </c>
    </row>
    <row r="77" s="1" customFormat="1" ht="25" customHeight="1" spans="2:12">
      <c r="B77" s="8"/>
      <c r="C77" s="5" t="s">
        <v>74</v>
      </c>
      <c r="D77" s="5" t="s">
        <v>17</v>
      </c>
      <c r="E77" s="8"/>
      <c r="F77" s="29">
        <v>0.001</v>
      </c>
      <c r="G77" s="29">
        <v>0.001</v>
      </c>
      <c r="H77" s="5">
        <v>0</v>
      </c>
      <c r="I77" s="13">
        <f t="shared" si="24"/>
        <v>1</v>
      </c>
      <c r="J77" s="32"/>
      <c r="K77" s="33"/>
      <c r="L77" s="19"/>
    </row>
    <row r="78" s="1" customFormat="1" ht="25" customHeight="1" spans="2:12">
      <c r="B78" s="6">
        <v>39</v>
      </c>
      <c r="C78" s="5" t="s">
        <v>76</v>
      </c>
      <c r="D78" s="5" t="s">
        <v>13</v>
      </c>
      <c r="E78" s="7"/>
      <c r="F78" s="5">
        <v>1828</v>
      </c>
      <c r="G78" s="5">
        <v>1863</v>
      </c>
      <c r="H78" s="5">
        <v>0</v>
      </c>
      <c r="I78" s="13">
        <f t="shared" si="24"/>
        <v>1.0191466083151</v>
      </c>
      <c r="J78" s="30">
        <f t="shared" ref="J78:J82" si="28">G78+G79</f>
        <v>1863.001</v>
      </c>
      <c r="K78" s="31">
        <f t="shared" si="27"/>
        <v>69450.005</v>
      </c>
      <c r="L78" s="15" t="s">
        <v>77</v>
      </c>
    </row>
    <row r="79" s="1" customFormat="1" ht="25" customHeight="1" spans="2:12">
      <c r="B79" s="8"/>
      <c r="C79" s="5" t="s">
        <v>76</v>
      </c>
      <c r="D79" s="5" t="s">
        <v>17</v>
      </c>
      <c r="E79" s="8"/>
      <c r="F79" s="29">
        <v>0.001</v>
      </c>
      <c r="G79" s="29">
        <v>0.001</v>
      </c>
      <c r="H79" s="5">
        <v>0</v>
      </c>
      <c r="I79" s="13">
        <f t="shared" si="24"/>
        <v>1</v>
      </c>
      <c r="J79" s="32"/>
      <c r="K79" s="33"/>
      <c r="L79" s="19"/>
    </row>
    <row r="80" s="1" customFormat="1" ht="25" customHeight="1" spans="2:12">
      <c r="B80" s="6">
        <v>40</v>
      </c>
      <c r="C80" s="5" t="s">
        <v>78</v>
      </c>
      <c r="D80" s="5" t="s">
        <v>13</v>
      </c>
      <c r="E80" s="7"/>
      <c r="F80" s="5">
        <v>1828</v>
      </c>
      <c r="G80" s="5">
        <v>1714</v>
      </c>
      <c r="H80" s="5">
        <v>0</v>
      </c>
      <c r="I80" s="13">
        <f t="shared" si="24"/>
        <v>0.937636761487965</v>
      </c>
      <c r="J80" s="30">
        <f t="shared" si="28"/>
        <v>2915</v>
      </c>
      <c r="K80" s="31">
        <f t="shared" ref="K80:K84" si="29">K78+J80</f>
        <v>72365.005</v>
      </c>
      <c r="L80" s="15" t="s">
        <v>79</v>
      </c>
    </row>
    <row r="81" s="1" customFormat="1" ht="25" customHeight="1" spans="2:12">
      <c r="B81" s="8"/>
      <c r="C81" s="5" t="s">
        <v>78</v>
      </c>
      <c r="D81" s="5" t="s">
        <v>17</v>
      </c>
      <c r="E81" s="8"/>
      <c r="F81" s="29">
        <v>1828</v>
      </c>
      <c r="G81" s="29">
        <v>1201</v>
      </c>
      <c r="H81" s="5">
        <v>0</v>
      </c>
      <c r="I81" s="13">
        <f t="shared" si="24"/>
        <v>0.657002188183807</v>
      </c>
      <c r="J81" s="32"/>
      <c r="K81" s="33"/>
      <c r="L81" s="19"/>
    </row>
    <row r="82" s="1" customFormat="1" ht="25" customHeight="1" spans="2:12">
      <c r="B82" s="6">
        <v>41</v>
      </c>
      <c r="C82" s="5" t="s">
        <v>80</v>
      </c>
      <c r="D82" s="5" t="s">
        <v>13</v>
      </c>
      <c r="E82" s="7"/>
      <c r="F82" s="5">
        <v>1828</v>
      </c>
      <c r="G82" s="5">
        <v>1735</v>
      </c>
      <c r="H82" s="5">
        <v>0</v>
      </c>
      <c r="I82" s="13">
        <f t="shared" si="24"/>
        <v>0.949124726477024</v>
      </c>
      <c r="J82" s="30">
        <f t="shared" si="28"/>
        <v>3563</v>
      </c>
      <c r="K82" s="31">
        <f t="shared" si="29"/>
        <v>75928.005</v>
      </c>
      <c r="L82" s="15"/>
    </row>
    <row r="83" s="1" customFormat="1" ht="25" customHeight="1" spans="2:12">
      <c r="B83" s="8"/>
      <c r="C83" s="5" t="s">
        <v>80</v>
      </c>
      <c r="D83" s="5" t="s">
        <v>17</v>
      </c>
      <c r="E83" s="8"/>
      <c r="F83" s="29">
        <v>1828</v>
      </c>
      <c r="G83" s="29">
        <v>1828</v>
      </c>
      <c r="H83" s="5">
        <v>0</v>
      </c>
      <c r="I83" s="13">
        <f t="shared" si="24"/>
        <v>1</v>
      </c>
      <c r="J83" s="32"/>
      <c r="K83" s="33"/>
      <c r="L83" s="19"/>
    </row>
    <row r="84" s="1" customFormat="1" ht="25" customHeight="1" spans="2:17">
      <c r="B84" s="6">
        <v>42</v>
      </c>
      <c r="C84" s="5" t="s">
        <v>81</v>
      </c>
      <c r="D84" s="5" t="s">
        <v>13</v>
      </c>
      <c r="E84" s="7"/>
      <c r="F84" s="5">
        <v>1828</v>
      </c>
      <c r="G84" s="5">
        <v>1782</v>
      </c>
      <c r="H84" s="5">
        <v>0</v>
      </c>
      <c r="I84" s="13">
        <f t="shared" si="24"/>
        <v>0.974835886214442</v>
      </c>
      <c r="J84" s="30">
        <f t="shared" ref="J84:J88" si="30">G84+G85</f>
        <v>3545</v>
      </c>
      <c r="K84" s="31">
        <f t="shared" si="29"/>
        <v>79473.005</v>
      </c>
      <c r="L84" s="15"/>
      <c r="O84" s="34" t="s">
        <v>82</v>
      </c>
      <c r="P84" s="34" t="s">
        <v>83</v>
      </c>
      <c r="Q84" s="34" t="s">
        <v>84</v>
      </c>
    </row>
    <row r="85" s="1" customFormat="1" ht="25" customHeight="1" spans="2:17">
      <c r="B85" s="8"/>
      <c r="C85" s="5" t="s">
        <v>81</v>
      </c>
      <c r="D85" s="5" t="s">
        <v>17</v>
      </c>
      <c r="E85" s="8"/>
      <c r="F85" s="29">
        <v>1828</v>
      </c>
      <c r="G85" s="29">
        <v>1763</v>
      </c>
      <c r="H85" s="5">
        <v>0</v>
      </c>
      <c r="I85" s="13">
        <f t="shared" si="24"/>
        <v>0.964442013129103</v>
      </c>
      <c r="J85" s="32"/>
      <c r="K85" s="33"/>
      <c r="L85" s="19"/>
      <c r="O85" s="34" t="s">
        <v>85</v>
      </c>
      <c r="P85" s="34">
        <v>6714</v>
      </c>
      <c r="Q85" s="34">
        <v>5724</v>
      </c>
    </row>
    <row r="86" s="1" customFormat="1" ht="25" customHeight="1" spans="2:17">
      <c r="B86" s="6">
        <v>43</v>
      </c>
      <c r="C86" s="5" t="s">
        <v>86</v>
      </c>
      <c r="D86" s="5" t="s">
        <v>13</v>
      </c>
      <c r="E86" s="7"/>
      <c r="F86" s="5">
        <v>1228</v>
      </c>
      <c r="G86" s="5">
        <v>1168</v>
      </c>
      <c r="H86" s="5">
        <v>0</v>
      </c>
      <c r="I86" s="13">
        <f t="shared" si="24"/>
        <v>0.95114006514658</v>
      </c>
      <c r="J86" s="30">
        <f t="shared" si="30"/>
        <v>2811</v>
      </c>
      <c r="K86" s="31">
        <f t="shared" ref="K86:K90" si="31">K84+J86</f>
        <v>82284.005</v>
      </c>
      <c r="L86" s="15" t="s">
        <v>87</v>
      </c>
      <c r="O86" s="34" t="s">
        <v>88</v>
      </c>
      <c r="P86" s="34">
        <v>70198</v>
      </c>
      <c r="Q86" s="34">
        <v>63726</v>
      </c>
    </row>
    <row r="87" s="1" customFormat="1" ht="25" customHeight="1" spans="2:18">
      <c r="B87" s="8"/>
      <c r="C87" s="5" t="s">
        <v>86</v>
      </c>
      <c r="D87" s="5" t="s">
        <v>17</v>
      </c>
      <c r="E87" s="8"/>
      <c r="F87" s="29">
        <v>1828</v>
      </c>
      <c r="G87" s="29">
        <v>1643</v>
      </c>
      <c r="H87" s="5">
        <v>0</v>
      </c>
      <c r="I87" s="13">
        <f t="shared" si="24"/>
        <v>0.898796498905908</v>
      </c>
      <c r="J87" s="32"/>
      <c r="K87" s="33"/>
      <c r="L87" s="19"/>
      <c r="O87" s="34" t="s">
        <v>89</v>
      </c>
      <c r="P87" s="35">
        <v>90924</v>
      </c>
      <c r="Q87" s="35">
        <v>84323</v>
      </c>
      <c r="R87" s="38"/>
    </row>
    <row r="88" s="1" customFormat="1" ht="25" customHeight="1" spans="2:17">
      <c r="B88" s="6">
        <v>44</v>
      </c>
      <c r="C88" s="5" t="s">
        <v>90</v>
      </c>
      <c r="D88" s="5" t="s">
        <v>13</v>
      </c>
      <c r="E88" s="7"/>
      <c r="F88" s="5">
        <v>1628</v>
      </c>
      <c r="G88" s="5">
        <v>1241</v>
      </c>
      <c r="H88" s="5">
        <v>0</v>
      </c>
      <c r="I88" s="13">
        <f t="shared" si="24"/>
        <v>0.762285012285012</v>
      </c>
      <c r="J88" s="30">
        <f t="shared" si="30"/>
        <v>2209</v>
      </c>
      <c r="K88" s="31">
        <f t="shared" si="31"/>
        <v>84493.005</v>
      </c>
      <c r="L88" s="15" t="s">
        <v>91</v>
      </c>
      <c r="O88" s="5" t="s">
        <v>92</v>
      </c>
      <c r="P88" s="5">
        <f>SUM(P85:P87)</f>
        <v>167836</v>
      </c>
      <c r="Q88" s="5">
        <f>SUM(Q85:Q87)</f>
        <v>153773</v>
      </c>
    </row>
    <row r="89" s="1" customFormat="1" ht="25" customHeight="1" spans="2:12">
      <c r="B89" s="8"/>
      <c r="C89" s="5" t="s">
        <v>90</v>
      </c>
      <c r="D89" s="5" t="s">
        <v>17</v>
      </c>
      <c r="E89" s="8"/>
      <c r="F89" s="29">
        <v>1628</v>
      </c>
      <c r="G89" s="29">
        <v>968</v>
      </c>
      <c r="H89" s="5">
        <v>0</v>
      </c>
      <c r="I89" s="13">
        <f t="shared" si="24"/>
        <v>0.594594594594595</v>
      </c>
      <c r="J89" s="32"/>
      <c r="K89" s="33"/>
      <c r="L89" s="19"/>
    </row>
    <row r="90" s="1" customFormat="1" ht="25" customHeight="1" spans="2:12">
      <c r="B90" s="7">
        <v>45</v>
      </c>
      <c r="C90" s="5" t="s">
        <v>93</v>
      </c>
      <c r="D90" s="5" t="s">
        <v>13</v>
      </c>
      <c r="E90" s="8"/>
      <c r="F90" s="29">
        <v>70</v>
      </c>
      <c r="G90" s="29">
        <v>70</v>
      </c>
      <c r="H90" s="5">
        <v>0</v>
      </c>
      <c r="I90" s="13">
        <f t="shared" si="24"/>
        <v>1</v>
      </c>
      <c r="J90" s="30">
        <f t="shared" ref="J90:J94" si="32">G90+G91</f>
        <v>560</v>
      </c>
      <c r="K90" s="31">
        <f t="shared" si="31"/>
        <v>85053.005</v>
      </c>
      <c r="L90" s="36"/>
    </row>
    <row r="91" s="1" customFormat="1" ht="25" customHeight="1" spans="2:12">
      <c r="B91" s="8"/>
      <c r="C91" s="5" t="s">
        <v>93</v>
      </c>
      <c r="D91" s="5" t="s">
        <v>17</v>
      </c>
      <c r="E91" s="8"/>
      <c r="F91" s="29">
        <v>600</v>
      </c>
      <c r="G91" s="29">
        <v>490</v>
      </c>
      <c r="H91" s="5">
        <v>0</v>
      </c>
      <c r="I91" s="13">
        <f t="shared" si="24"/>
        <v>0.816666666666667</v>
      </c>
      <c r="J91" s="32"/>
      <c r="K91" s="33"/>
      <c r="L91" s="37"/>
    </row>
    <row r="92" s="1" customFormat="1" ht="25" customHeight="1" spans="2:12">
      <c r="B92" s="6">
        <v>46</v>
      </c>
      <c r="C92" s="5" t="s">
        <v>94</v>
      </c>
      <c r="D92" s="5" t="s">
        <v>13</v>
      </c>
      <c r="E92" s="7"/>
      <c r="F92" s="5">
        <v>1828</v>
      </c>
      <c r="G92" s="5">
        <v>1838</v>
      </c>
      <c r="H92" s="5">
        <v>0</v>
      </c>
      <c r="I92" s="13">
        <f t="shared" si="24"/>
        <v>1.0054704595186</v>
      </c>
      <c r="J92" s="30">
        <f t="shared" si="32"/>
        <v>3685</v>
      </c>
      <c r="K92" s="31">
        <f t="shared" ref="K92:K96" si="33">K90+J92</f>
        <v>88738.005</v>
      </c>
      <c r="L92" s="15" t="s">
        <v>29</v>
      </c>
    </row>
    <row r="93" s="1" customFormat="1" ht="25" customHeight="1" spans="2:12">
      <c r="B93" s="8"/>
      <c r="C93" s="5" t="s">
        <v>94</v>
      </c>
      <c r="D93" s="5" t="s">
        <v>17</v>
      </c>
      <c r="E93" s="8"/>
      <c r="F93" s="29">
        <v>1828</v>
      </c>
      <c r="G93" s="29">
        <v>1847</v>
      </c>
      <c r="H93" s="5">
        <v>0</v>
      </c>
      <c r="I93" s="13">
        <f t="shared" si="24"/>
        <v>1.01039387308534</v>
      </c>
      <c r="J93" s="32"/>
      <c r="K93" s="33"/>
      <c r="L93" s="19"/>
    </row>
    <row r="94" s="1" customFormat="1" ht="25" customHeight="1" spans="2:12">
      <c r="B94" s="6">
        <v>47</v>
      </c>
      <c r="C94" s="5" t="s">
        <v>95</v>
      </c>
      <c r="D94" s="5" t="s">
        <v>13</v>
      </c>
      <c r="E94" s="7"/>
      <c r="F94" s="5">
        <v>1828</v>
      </c>
      <c r="G94" s="5">
        <v>1843</v>
      </c>
      <c r="H94" s="5">
        <v>0</v>
      </c>
      <c r="I94" s="13">
        <f t="shared" si="24"/>
        <v>1.0082056892779</v>
      </c>
      <c r="J94" s="30">
        <f t="shared" si="32"/>
        <v>3703</v>
      </c>
      <c r="K94" s="31">
        <f t="shared" si="33"/>
        <v>92441.005</v>
      </c>
      <c r="L94" s="15" t="s">
        <v>29</v>
      </c>
    </row>
    <row r="95" s="1" customFormat="1" ht="25" customHeight="1" spans="2:12">
      <c r="B95" s="8"/>
      <c r="C95" s="5" t="s">
        <v>95</v>
      </c>
      <c r="D95" s="5" t="s">
        <v>17</v>
      </c>
      <c r="E95" s="8"/>
      <c r="F95" s="29">
        <v>1828</v>
      </c>
      <c r="G95" s="29">
        <v>1860</v>
      </c>
      <c r="H95" s="5">
        <v>0</v>
      </c>
      <c r="I95" s="13">
        <f t="shared" si="24"/>
        <v>1.01750547045952</v>
      </c>
      <c r="J95" s="32"/>
      <c r="K95" s="33"/>
      <c r="L95" s="19"/>
    </row>
    <row r="96" s="1" customFormat="1" ht="25" customHeight="1" spans="2:12">
      <c r="B96" s="6">
        <v>48</v>
      </c>
      <c r="C96" s="5" t="s">
        <v>96</v>
      </c>
      <c r="D96" s="5" t="s">
        <v>13</v>
      </c>
      <c r="E96" s="7"/>
      <c r="F96" s="5">
        <v>1828</v>
      </c>
      <c r="G96" s="5">
        <v>1817</v>
      </c>
      <c r="H96" s="5">
        <v>0</v>
      </c>
      <c r="I96" s="13">
        <f t="shared" si="24"/>
        <v>0.99398249452954</v>
      </c>
      <c r="J96" s="30">
        <f t="shared" ref="J96:J100" si="34">G96+G97</f>
        <v>3658</v>
      </c>
      <c r="K96" s="31">
        <f t="shared" si="33"/>
        <v>96099.005</v>
      </c>
      <c r="L96" s="15" t="s">
        <v>29</v>
      </c>
    </row>
    <row r="97" s="1" customFormat="1" ht="25" customHeight="1" spans="2:12">
      <c r="B97" s="8"/>
      <c r="C97" s="5" t="s">
        <v>96</v>
      </c>
      <c r="D97" s="5" t="s">
        <v>17</v>
      </c>
      <c r="E97" s="8"/>
      <c r="F97" s="29">
        <v>1828</v>
      </c>
      <c r="G97" s="29">
        <v>1841</v>
      </c>
      <c r="H97" s="5">
        <v>0</v>
      </c>
      <c r="I97" s="13">
        <f t="shared" si="24"/>
        <v>1.00711159737418</v>
      </c>
      <c r="J97" s="32"/>
      <c r="K97" s="33"/>
      <c r="L97" s="19"/>
    </row>
    <row r="98" s="1" customFormat="1" ht="25" customHeight="1" spans="2:12">
      <c r="B98" s="6">
        <v>49</v>
      </c>
      <c r="C98" s="5" t="s">
        <v>97</v>
      </c>
      <c r="D98" s="5" t="s">
        <v>13</v>
      </c>
      <c r="E98" s="7"/>
      <c r="F98" s="5">
        <v>1828</v>
      </c>
      <c r="G98" s="5">
        <v>1699</v>
      </c>
      <c r="H98" s="5">
        <v>0</v>
      </c>
      <c r="I98" s="13">
        <f t="shared" si="24"/>
        <v>0.929431072210066</v>
      </c>
      <c r="J98" s="30">
        <f t="shared" si="34"/>
        <v>3511</v>
      </c>
      <c r="K98" s="31">
        <f t="shared" ref="K98:K102" si="35">K96+J98</f>
        <v>99610.005</v>
      </c>
      <c r="L98" s="15" t="s">
        <v>98</v>
      </c>
    </row>
    <row r="99" s="1" customFormat="1" ht="25" customHeight="1" spans="2:12">
      <c r="B99" s="8"/>
      <c r="C99" s="5" t="s">
        <v>97</v>
      </c>
      <c r="D99" s="5" t="s">
        <v>17</v>
      </c>
      <c r="E99" s="8"/>
      <c r="F99" s="29">
        <v>1828</v>
      </c>
      <c r="G99" s="29">
        <v>1812</v>
      </c>
      <c r="H99" s="5">
        <v>0</v>
      </c>
      <c r="I99" s="13">
        <f t="shared" si="24"/>
        <v>0.991247264770241</v>
      </c>
      <c r="J99" s="32"/>
      <c r="K99" s="33"/>
      <c r="L99" s="19"/>
    </row>
    <row r="100" s="1" customFormat="1" ht="25" customHeight="1" spans="2:12">
      <c r="B100" s="6">
        <v>50</v>
      </c>
      <c r="C100" s="5" t="s">
        <v>99</v>
      </c>
      <c r="D100" s="5" t="s">
        <v>13</v>
      </c>
      <c r="E100" s="7"/>
      <c r="F100" s="5">
        <v>1828</v>
      </c>
      <c r="G100" s="5">
        <v>1876</v>
      </c>
      <c r="H100" s="5">
        <v>0</v>
      </c>
      <c r="I100" s="13">
        <f t="shared" si="24"/>
        <v>1.02625820568928</v>
      </c>
      <c r="J100" s="30">
        <f t="shared" si="34"/>
        <v>3751</v>
      </c>
      <c r="K100" s="31">
        <f t="shared" si="35"/>
        <v>103361.005</v>
      </c>
      <c r="L100" s="15" t="s">
        <v>29</v>
      </c>
    </row>
    <row r="101" s="1" customFormat="1" ht="25" customHeight="1" spans="2:12">
      <c r="B101" s="8"/>
      <c r="C101" s="5" t="s">
        <v>99</v>
      </c>
      <c r="D101" s="5" t="s">
        <v>17</v>
      </c>
      <c r="E101" s="8"/>
      <c r="F101" s="29">
        <v>1828</v>
      </c>
      <c r="G101" s="29">
        <v>1875</v>
      </c>
      <c r="H101" s="5">
        <v>0</v>
      </c>
      <c r="I101" s="13">
        <f t="shared" si="24"/>
        <v>1.02571115973742</v>
      </c>
      <c r="J101" s="32"/>
      <c r="K101" s="33"/>
      <c r="L101" s="19"/>
    </row>
    <row r="102" s="1" customFormat="1" ht="25" customHeight="1" spans="2:12">
      <c r="B102" s="6">
        <v>51</v>
      </c>
      <c r="C102" s="5" t="s">
        <v>100</v>
      </c>
      <c r="D102" s="5" t="s">
        <v>13</v>
      </c>
      <c r="E102" s="7"/>
      <c r="F102" s="5">
        <v>1828</v>
      </c>
      <c r="G102" s="5">
        <v>1737</v>
      </c>
      <c r="H102" s="5">
        <v>0</v>
      </c>
      <c r="I102" s="13">
        <f t="shared" si="24"/>
        <v>0.950218818380744</v>
      </c>
      <c r="J102" s="30">
        <f t="shared" ref="J102:J106" si="36">G102+G103</f>
        <v>1937</v>
      </c>
      <c r="K102" s="31">
        <f t="shared" si="35"/>
        <v>105298.005</v>
      </c>
      <c r="L102" s="15" t="s">
        <v>101</v>
      </c>
    </row>
    <row r="103" s="1" customFormat="1" ht="25" customHeight="1" spans="2:12">
      <c r="B103" s="8"/>
      <c r="C103" s="5" t="s">
        <v>100</v>
      </c>
      <c r="D103" s="5" t="s">
        <v>17</v>
      </c>
      <c r="E103" s="8"/>
      <c r="F103" s="29">
        <v>200</v>
      </c>
      <c r="G103" s="29">
        <v>200</v>
      </c>
      <c r="H103" s="5">
        <v>0</v>
      </c>
      <c r="I103" s="13">
        <f t="shared" si="24"/>
        <v>1</v>
      </c>
      <c r="J103" s="32"/>
      <c r="K103" s="33"/>
      <c r="L103" s="19"/>
    </row>
    <row r="104" s="1" customFormat="1" ht="25" customHeight="1" spans="2:12">
      <c r="B104" s="6">
        <v>52</v>
      </c>
      <c r="C104" s="5" t="s">
        <v>102</v>
      </c>
      <c r="D104" s="5" t="s">
        <v>13</v>
      </c>
      <c r="E104" s="7"/>
      <c r="F104" s="5">
        <v>1828</v>
      </c>
      <c r="G104" s="5">
        <v>1650</v>
      </c>
      <c r="H104" s="5">
        <v>0</v>
      </c>
      <c r="I104" s="13">
        <f t="shared" si="24"/>
        <v>0.902625820568928</v>
      </c>
      <c r="J104" s="30">
        <f t="shared" si="36"/>
        <v>2706</v>
      </c>
      <c r="K104" s="31">
        <f t="shared" ref="K104:K108" si="37">K102+J104</f>
        <v>108004.005</v>
      </c>
      <c r="L104" s="15" t="s">
        <v>103</v>
      </c>
    </row>
    <row r="105" s="1" customFormat="1" ht="25" customHeight="1" spans="2:12">
      <c r="B105" s="8"/>
      <c r="C105" s="5" t="s">
        <v>102</v>
      </c>
      <c r="D105" s="5" t="s">
        <v>17</v>
      </c>
      <c r="E105" s="8"/>
      <c r="F105" s="5">
        <v>1828</v>
      </c>
      <c r="G105" s="29">
        <v>1056</v>
      </c>
      <c r="H105" s="5">
        <v>0</v>
      </c>
      <c r="I105" s="13">
        <f t="shared" si="24"/>
        <v>0.577680525164114</v>
      </c>
      <c r="J105" s="32"/>
      <c r="K105" s="33"/>
      <c r="L105" s="19"/>
    </row>
    <row r="106" s="1" customFormat="1" ht="25" customHeight="1" spans="2:12">
      <c r="B106" s="6">
        <v>53</v>
      </c>
      <c r="C106" s="5" t="s">
        <v>104</v>
      </c>
      <c r="D106" s="5" t="s">
        <v>13</v>
      </c>
      <c r="E106" s="7"/>
      <c r="F106" s="5">
        <v>1828</v>
      </c>
      <c r="G106" s="5">
        <v>1911</v>
      </c>
      <c r="H106" s="5">
        <v>0</v>
      </c>
      <c r="I106" s="13">
        <f t="shared" si="24"/>
        <v>1.04540481400438</v>
      </c>
      <c r="J106" s="30">
        <f t="shared" si="36"/>
        <v>3813</v>
      </c>
      <c r="K106" s="31">
        <f t="shared" si="37"/>
        <v>111817.005</v>
      </c>
      <c r="L106" s="15" t="s">
        <v>29</v>
      </c>
    </row>
    <row r="107" s="1" customFormat="1" ht="25" customHeight="1" spans="2:12">
      <c r="B107" s="8"/>
      <c r="C107" s="5" t="s">
        <v>104</v>
      </c>
      <c r="D107" s="5" t="s">
        <v>17</v>
      </c>
      <c r="E107" s="8"/>
      <c r="F107" s="5">
        <v>1828</v>
      </c>
      <c r="G107" s="29">
        <v>1902</v>
      </c>
      <c r="H107" s="5">
        <v>0</v>
      </c>
      <c r="I107" s="13">
        <f t="shared" si="24"/>
        <v>1.04048140043764</v>
      </c>
      <c r="J107" s="32"/>
      <c r="K107" s="33"/>
      <c r="L107" s="19"/>
    </row>
    <row r="108" s="1" customFormat="1" ht="25" customHeight="1" spans="2:12">
      <c r="B108" s="6">
        <v>54</v>
      </c>
      <c r="C108" s="5" t="s">
        <v>105</v>
      </c>
      <c r="D108" s="5" t="s">
        <v>13</v>
      </c>
      <c r="E108" s="7"/>
      <c r="F108" s="5">
        <v>1828</v>
      </c>
      <c r="G108" s="5">
        <v>1867</v>
      </c>
      <c r="H108" s="5">
        <v>0</v>
      </c>
      <c r="I108" s="13">
        <f t="shared" si="24"/>
        <v>1.02133479212254</v>
      </c>
      <c r="J108" s="30">
        <f t="shared" ref="J108:J112" si="38">G108+G109</f>
        <v>3738</v>
      </c>
      <c r="K108" s="31">
        <f t="shared" si="37"/>
        <v>115555.005</v>
      </c>
      <c r="L108" s="15" t="s">
        <v>29</v>
      </c>
    </row>
    <row r="109" s="1" customFormat="1" ht="25" customHeight="1" spans="2:12">
      <c r="B109" s="8"/>
      <c r="C109" s="5" t="s">
        <v>105</v>
      </c>
      <c r="D109" s="5" t="s">
        <v>17</v>
      </c>
      <c r="E109" s="8"/>
      <c r="F109" s="5">
        <v>1828</v>
      </c>
      <c r="G109" s="29">
        <v>1871</v>
      </c>
      <c r="H109" s="5">
        <v>0</v>
      </c>
      <c r="I109" s="13">
        <f t="shared" si="24"/>
        <v>1.02352297592998</v>
      </c>
      <c r="J109" s="32"/>
      <c r="K109" s="33"/>
      <c r="L109" s="19"/>
    </row>
    <row r="110" s="1" customFormat="1" ht="25" customHeight="1" spans="2:12">
      <c r="B110" s="6">
        <v>55</v>
      </c>
      <c r="C110" s="5" t="s">
        <v>106</v>
      </c>
      <c r="D110" s="5" t="s">
        <v>13</v>
      </c>
      <c r="E110" s="7"/>
      <c r="F110" s="5">
        <v>1828</v>
      </c>
      <c r="G110" s="5">
        <v>1327</v>
      </c>
      <c r="H110" s="5">
        <v>0</v>
      </c>
      <c r="I110" s="13">
        <f t="shared" si="24"/>
        <v>0.725929978118162</v>
      </c>
      <c r="J110" s="30">
        <f t="shared" si="38"/>
        <v>2682</v>
      </c>
      <c r="K110" s="31">
        <f t="shared" ref="K110:K114" si="39">K108+J110</f>
        <v>118237.005</v>
      </c>
      <c r="L110" s="15" t="s">
        <v>107</v>
      </c>
    </row>
    <row r="111" s="1" customFormat="1" ht="25" customHeight="1" spans="2:12">
      <c r="B111" s="8"/>
      <c r="C111" s="5" t="s">
        <v>106</v>
      </c>
      <c r="D111" s="5" t="s">
        <v>17</v>
      </c>
      <c r="E111" s="8"/>
      <c r="F111" s="5">
        <v>1828</v>
      </c>
      <c r="G111" s="29">
        <v>1355</v>
      </c>
      <c r="H111" s="5">
        <v>0</v>
      </c>
      <c r="I111" s="13">
        <f t="shared" si="24"/>
        <v>0.741247264770241</v>
      </c>
      <c r="J111" s="32"/>
      <c r="K111" s="33"/>
      <c r="L111" s="19"/>
    </row>
    <row r="112" s="1" customFormat="1" ht="25" customHeight="1" spans="2:12">
      <c r="B112" s="6">
        <v>56</v>
      </c>
      <c r="C112" s="5" t="s">
        <v>108</v>
      </c>
      <c r="D112" s="5" t="s">
        <v>13</v>
      </c>
      <c r="E112" s="7"/>
      <c r="F112" s="5">
        <v>1828</v>
      </c>
      <c r="G112" s="5">
        <v>1610</v>
      </c>
      <c r="H112" s="5">
        <v>0</v>
      </c>
      <c r="I112" s="13">
        <f t="shared" si="24"/>
        <v>0.88074398249453</v>
      </c>
      <c r="J112" s="30">
        <f t="shared" si="38"/>
        <v>3388</v>
      </c>
      <c r="K112" s="31">
        <f t="shared" si="39"/>
        <v>121625.005</v>
      </c>
      <c r="L112" s="15" t="s">
        <v>109</v>
      </c>
    </row>
    <row r="113" s="1" customFormat="1" ht="25" customHeight="1" spans="2:12">
      <c r="B113" s="8"/>
      <c r="C113" s="5" t="s">
        <v>108</v>
      </c>
      <c r="D113" s="5" t="s">
        <v>17</v>
      </c>
      <c r="E113" s="8"/>
      <c r="F113" s="5">
        <v>1828</v>
      </c>
      <c r="G113" s="29">
        <v>1778</v>
      </c>
      <c r="H113" s="5">
        <v>0</v>
      </c>
      <c r="I113" s="13">
        <f t="shared" si="24"/>
        <v>0.972647702407002</v>
      </c>
      <c r="J113" s="32"/>
      <c r="K113" s="33"/>
      <c r="L113" s="19"/>
    </row>
    <row r="114" s="1" customFormat="1" ht="25" customHeight="1" spans="2:12">
      <c r="B114" s="6">
        <v>57</v>
      </c>
      <c r="C114" s="5" t="s">
        <v>110</v>
      </c>
      <c r="D114" s="5" t="s">
        <v>13</v>
      </c>
      <c r="E114" s="7"/>
      <c r="F114" s="5">
        <v>1828</v>
      </c>
      <c r="G114" s="5">
        <v>1780</v>
      </c>
      <c r="H114" s="5">
        <v>0</v>
      </c>
      <c r="I114" s="13">
        <f t="shared" si="24"/>
        <v>0.973741794310722</v>
      </c>
      <c r="J114" s="30">
        <f t="shared" ref="J114:J118" si="40">G114+G115</f>
        <v>3600</v>
      </c>
      <c r="K114" s="31">
        <f t="shared" si="39"/>
        <v>125225.005</v>
      </c>
      <c r="L114" s="15" t="s">
        <v>111</v>
      </c>
    </row>
    <row r="115" s="1" customFormat="1" ht="25" customHeight="1" spans="2:12">
      <c r="B115" s="8"/>
      <c r="C115" s="5" t="s">
        <v>110</v>
      </c>
      <c r="D115" s="5" t="s">
        <v>17</v>
      </c>
      <c r="E115" s="8"/>
      <c r="F115" s="5">
        <v>1828</v>
      </c>
      <c r="G115" s="29">
        <v>1820</v>
      </c>
      <c r="H115" s="5">
        <v>0</v>
      </c>
      <c r="I115" s="13">
        <f t="shared" si="24"/>
        <v>0.99562363238512</v>
      </c>
      <c r="J115" s="32"/>
      <c r="K115" s="33"/>
      <c r="L115" s="19"/>
    </row>
    <row r="116" s="1" customFormat="1" ht="25" customHeight="1" spans="2:12">
      <c r="B116" s="6">
        <v>58</v>
      </c>
      <c r="C116" s="5" t="s">
        <v>112</v>
      </c>
      <c r="D116" s="5" t="s">
        <v>13</v>
      </c>
      <c r="E116" s="7"/>
      <c r="F116" s="5">
        <v>700</v>
      </c>
      <c r="G116" s="5">
        <v>700</v>
      </c>
      <c r="H116" s="5">
        <v>0</v>
      </c>
      <c r="I116" s="13">
        <f t="shared" si="24"/>
        <v>1</v>
      </c>
      <c r="J116" s="30">
        <f t="shared" si="40"/>
        <v>1400</v>
      </c>
      <c r="K116" s="31">
        <f t="shared" ref="K116:K120" si="41">K114+J116</f>
        <v>126625.005</v>
      </c>
      <c r="L116" s="15"/>
    </row>
    <row r="117" s="1" customFormat="1" ht="25" customHeight="1" spans="2:12">
      <c r="B117" s="8"/>
      <c r="C117" s="5" t="s">
        <v>112</v>
      </c>
      <c r="D117" s="5" t="s">
        <v>17</v>
      </c>
      <c r="E117" s="8"/>
      <c r="F117" s="5">
        <v>700</v>
      </c>
      <c r="G117" s="29">
        <v>700</v>
      </c>
      <c r="H117" s="5">
        <v>0</v>
      </c>
      <c r="I117" s="13">
        <f t="shared" si="24"/>
        <v>1</v>
      </c>
      <c r="J117" s="32"/>
      <c r="K117" s="33"/>
      <c r="L117" s="19"/>
    </row>
    <row r="118" s="1" customFormat="1" ht="25" customHeight="1" spans="2:12">
      <c r="B118" s="6">
        <v>59</v>
      </c>
      <c r="C118" s="5" t="s">
        <v>113</v>
      </c>
      <c r="D118" s="5" t="s">
        <v>13</v>
      </c>
      <c r="E118" s="7"/>
      <c r="F118" s="5">
        <v>1828</v>
      </c>
      <c r="G118" s="5">
        <v>1490</v>
      </c>
      <c r="H118" s="5">
        <v>0</v>
      </c>
      <c r="I118" s="13">
        <f t="shared" si="24"/>
        <v>0.815098468271335</v>
      </c>
      <c r="J118" s="30">
        <f t="shared" si="40"/>
        <v>2937</v>
      </c>
      <c r="K118" s="31">
        <f t="shared" si="41"/>
        <v>129562.005</v>
      </c>
      <c r="L118" s="15" t="s">
        <v>37</v>
      </c>
    </row>
    <row r="119" s="1" customFormat="1" ht="25" customHeight="1" spans="2:12">
      <c r="B119" s="8"/>
      <c r="C119" s="5" t="s">
        <v>113</v>
      </c>
      <c r="D119" s="5" t="s">
        <v>17</v>
      </c>
      <c r="E119" s="8"/>
      <c r="F119" s="5">
        <v>1828</v>
      </c>
      <c r="G119" s="29">
        <v>1447</v>
      </c>
      <c r="H119" s="5">
        <v>0</v>
      </c>
      <c r="I119" s="13">
        <f t="shared" si="24"/>
        <v>0.791575492341357</v>
      </c>
      <c r="J119" s="32"/>
      <c r="K119" s="33"/>
      <c r="L119" s="19"/>
    </row>
    <row r="120" s="1" customFormat="1" ht="25" customHeight="1" spans="2:12">
      <c r="B120" s="6">
        <v>60</v>
      </c>
      <c r="C120" s="5" t="s">
        <v>114</v>
      </c>
      <c r="D120" s="5" t="s">
        <v>13</v>
      </c>
      <c r="E120" s="7"/>
      <c r="F120" s="5">
        <v>1828</v>
      </c>
      <c r="G120" s="5">
        <v>1445</v>
      </c>
      <c r="H120" s="5">
        <v>0</v>
      </c>
      <c r="I120" s="13">
        <f t="shared" si="24"/>
        <v>0.790481400437637</v>
      </c>
      <c r="J120" s="30">
        <f t="shared" ref="J120:J124" si="42">G120+G121</f>
        <v>2778</v>
      </c>
      <c r="K120" s="31">
        <f t="shared" si="41"/>
        <v>132340.005</v>
      </c>
      <c r="L120" s="15" t="s">
        <v>115</v>
      </c>
    </row>
    <row r="121" s="1" customFormat="1" ht="25" customHeight="1" spans="2:12">
      <c r="B121" s="8"/>
      <c r="C121" s="5" t="s">
        <v>114</v>
      </c>
      <c r="D121" s="5" t="s">
        <v>17</v>
      </c>
      <c r="E121" s="8"/>
      <c r="F121" s="5">
        <v>1828</v>
      </c>
      <c r="G121" s="29">
        <v>1333</v>
      </c>
      <c r="H121" s="5">
        <v>0</v>
      </c>
      <c r="I121" s="13">
        <f t="shared" si="24"/>
        <v>0.729212253829322</v>
      </c>
      <c r="J121" s="32"/>
      <c r="K121" s="33"/>
      <c r="L121" s="19"/>
    </row>
    <row r="122" s="1" customFormat="1" ht="25" customHeight="1" spans="2:12">
      <c r="B122" s="6">
        <v>61</v>
      </c>
      <c r="C122" s="5" t="s">
        <v>116</v>
      </c>
      <c r="D122" s="5" t="s">
        <v>13</v>
      </c>
      <c r="E122" s="7"/>
      <c r="F122" s="5">
        <v>1828</v>
      </c>
      <c r="G122" s="5">
        <v>1624</v>
      </c>
      <c r="H122" s="5">
        <v>0</v>
      </c>
      <c r="I122" s="13">
        <f t="shared" si="24"/>
        <v>0.888402625820569</v>
      </c>
      <c r="J122" s="30">
        <f t="shared" si="42"/>
        <v>3409</v>
      </c>
      <c r="K122" s="31">
        <f t="shared" ref="K122:K126" si="43">K120+J122</f>
        <v>135749.005</v>
      </c>
      <c r="L122" s="15" t="s">
        <v>117</v>
      </c>
    </row>
    <row r="123" s="1" customFormat="1" ht="25" customHeight="1" spans="2:12">
      <c r="B123" s="8"/>
      <c r="C123" s="5" t="s">
        <v>116</v>
      </c>
      <c r="D123" s="5" t="s">
        <v>17</v>
      </c>
      <c r="E123" s="8"/>
      <c r="F123" s="5">
        <v>1828</v>
      </c>
      <c r="G123" s="29">
        <v>1785</v>
      </c>
      <c r="H123" s="5">
        <v>0</v>
      </c>
      <c r="I123" s="13">
        <f t="shared" si="24"/>
        <v>0.976477024070022</v>
      </c>
      <c r="J123" s="32"/>
      <c r="K123" s="33"/>
      <c r="L123" s="19"/>
    </row>
    <row r="124" s="1" customFormat="1" ht="25" customHeight="1" spans="2:12">
      <c r="B124" s="6">
        <v>62</v>
      </c>
      <c r="C124" s="5" t="s">
        <v>118</v>
      </c>
      <c r="D124" s="5" t="s">
        <v>13</v>
      </c>
      <c r="E124" s="7"/>
      <c r="F124" s="5">
        <v>1828</v>
      </c>
      <c r="G124" s="5">
        <v>1917</v>
      </c>
      <c r="H124" s="5">
        <v>0</v>
      </c>
      <c r="I124" s="13">
        <f t="shared" si="24"/>
        <v>1.04868708971554</v>
      </c>
      <c r="J124" s="30">
        <f t="shared" si="42"/>
        <v>3836</v>
      </c>
      <c r="K124" s="31">
        <f t="shared" si="43"/>
        <v>139585.005</v>
      </c>
      <c r="L124" s="15"/>
    </row>
    <row r="125" s="1" customFormat="1" ht="25" customHeight="1" spans="2:12">
      <c r="B125" s="8"/>
      <c r="C125" s="5" t="s">
        <v>118</v>
      </c>
      <c r="D125" s="5" t="s">
        <v>17</v>
      </c>
      <c r="E125" s="8"/>
      <c r="F125" s="5">
        <v>1828</v>
      </c>
      <c r="G125" s="29">
        <v>1919</v>
      </c>
      <c r="H125" s="5">
        <v>0</v>
      </c>
      <c r="I125" s="13">
        <f t="shared" si="24"/>
        <v>1.04978118161926</v>
      </c>
      <c r="J125" s="32"/>
      <c r="K125" s="33"/>
      <c r="L125" s="19"/>
    </row>
    <row r="126" s="1" customFormat="1" ht="25" customHeight="1" spans="2:12">
      <c r="B126" s="6">
        <v>63</v>
      </c>
      <c r="C126" s="5" t="s">
        <v>119</v>
      </c>
      <c r="D126" s="5" t="s">
        <v>13</v>
      </c>
      <c r="E126" s="7"/>
      <c r="F126" s="5">
        <v>1828</v>
      </c>
      <c r="G126" s="5">
        <v>1885</v>
      </c>
      <c r="H126" s="5">
        <v>0</v>
      </c>
      <c r="I126" s="13">
        <f t="shared" si="24"/>
        <v>1.03118161925602</v>
      </c>
      <c r="J126" s="30">
        <f t="shared" ref="J126:J130" si="44">G126+G127</f>
        <v>3707</v>
      </c>
      <c r="K126" s="31">
        <f t="shared" si="43"/>
        <v>143292.005</v>
      </c>
      <c r="L126" s="15"/>
    </row>
    <row r="127" s="1" customFormat="1" ht="25" customHeight="1" spans="2:12">
      <c r="B127" s="8"/>
      <c r="C127" s="5" t="s">
        <v>119</v>
      </c>
      <c r="D127" s="5" t="s">
        <v>17</v>
      </c>
      <c r="E127" s="8"/>
      <c r="F127" s="5">
        <v>1828</v>
      </c>
      <c r="G127" s="29">
        <v>1822</v>
      </c>
      <c r="H127" s="5">
        <v>0</v>
      </c>
      <c r="I127" s="13">
        <f t="shared" si="24"/>
        <v>0.99671772428884</v>
      </c>
      <c r="J127" s="32"/>
      <c r="K127" s="33"/>
      <c r="L127" s="19"/>
    </row>
    <row r="128" s="1" customFormat="1" ht="25" customHeight="1" spans="2:12">
      <c r="B128" s="6">
        <v>64</v>
      </c>
      <c r="C128" s="5" t="s">
        <v>120</v>
      </c>
      <c r="D128" s="5" t="s">
        <v>13</v>
      </c>
      <c r="E128" s="7"/>
      <c r="F128" s="5">
        <v>1828</v>
      </c>
      <c r="G128" s="5">
        <v>1446</v>
      </c>
      <c r="H128" s="5">
        <v>0</v>
      </c>
      <c r="I128" s="13">
        <f t="shared" si="24"/>
        <v>0.791028446389497</v>
      </c>
      <c r="J128" s="30">
        <f t="shared" si="44"/>
        <v>3012</v>
      </c>
      <c r="K128" s="31">
        <f t="shared" ref="K128:K132" si="45">K126+J128</f>
        <v>146304.005</v>
      </c>
      <c r="L128" s="15" t="s">
        <v>121</v>
      </c>
    </row>
    <row r="129" s="1" customFormat="1" ht="25" customHeight="1" spans="2:12">
      <c r="B129" s="8"/>
      <c r="C129" s="5" t="s">
        <v>120</v>
      </c>
      <c r="D129" s="5" t="s">
        <v>17</v>
      </c>
      <c r="E129" s="8"/>
      <c r="F129" s="5">
        <v>1828</v>
      </c>
      <c r="G129" s="29">
        <v>1566</v>
      </c>
      <c r="H129" s="5">
        <v>0</v>
      </c>
      <c r="I129" s="13">
        <f t="shared" si="24"/>
        <v>0.856673960612692</v>
      </c>
      <c r="J129" s="32"/>
      <c r="K129" s="33"/>
      <c r="L129" s="19"/>
    </row>
    <row r="130" s="1" customFormat="1" ht="25" customHeight="1" spans="2:12">
      <c r="B130" s="6">
        <v>65</v>
      </c>
      <c r="C130" s="5" t="s">
        <v>122</v>
      </c>
      <c r="D130" s="5" t="s">
        <v>13</v>
      </c>
      <c r="E130" s="7"/>
      <c r="F130" s="5">
        <v>700</v>
      </c>
      <c r="G130" s="5">
        <v>682</v>
      </c>
      <c r="H130" s="5">
        <v>0</v>
      </c>
      <c r="I130" s="13">
        <f t="shared" si="24"/>
        <v>0.974285714285714</v>
      </c>
      <c r="J130" s="30">
        <f t="shared" si="44"/>
        <v>1525</v>
      </c>
      <c r="K130" s="31">
        <f t="shared" si="45"/>
        <v>147829.005</v>
      </c>
      <c r="L130" s="15" t="s">
        <v>123</v>
      </c>
    </row>
    <row r="131" s="1" customFormat="1" ht="25" customHeight="1" spans="2:12">
      <c r="B131" s="8"/>
      <c r="C131" s="5" t="s">
        <v>122</v>
      </c>
      <c r="D131" s="5" t="s">
        <v>17</v>
      </c>
      <c r="E131" s="8"/>
      <c r="F131" s="5">
        <v>800</v>
      </c>
      <c r="G131" s="29">
        <v>843</v>
      </c>
      <c r="H131" s="5">
        <v>0</v>
      </c>
      <c r="I131" s="13">
        <f t="shared" si="24"/>
        <v>1.05375</v>
      </c>
      <c r="J131" s="32"/>
      <c r="K131" s="33"/>
      <c r="L131" s="19"/>
    </row>
    <row r="132" s="1" customFormat="1" ht="25" customHeight="1" spans="2:12">
      <c r="B132" s="6">
        <v>66</v>
      </c>
      <c r="C132" s="5" t="s">
        <v>124</v>
      </c>
      <c r="D132" s="5" t="s">
        <v>13</v>
      </c>
      <c r="E132" s="7"/>
      <c r="F132" s="5">
        <v>410</v>
      </c>
      <c r="G132" s="5">
        <v>410</v>
      </c>
      <c r="H132" s="5">
        <v>0</v>
      </c>
      <c r="I132" s="13">
        <f t="shared" ref="I132:I137" si="46">G132/F132</f>
        <v>1</v>
      </c>
      <c r="J132" s="30">
        <f t="shared" ref="J132:J136" si="47">G132+G133</f>
        <v>2180</v>
      </c>
      <c r="K132" s="31">
        <f t="shared" si="45"/>
        <v>150009.005</v>
      </c>
      <c r="L132" s="20" t="s">
        <v>125</v>
      </c>
    </row>
    <row r="133" s="1" customFormat="1" ht="51" customHeight="1" spans="2:12">
      <c r="B133" s="8"/>
      <c r="C133" s="5" t="s">
        <v>124</v>
      </c>
      <c r="D133" s="5" t="s">
        <v>17</v>
      </c>
      <c r="E133" s="8"/>
      <c r="F133" s="5">
        <v>1828</v>
      </c>
      <c r="G133" s="29">
        <v>1770</v>
      </c>
      <c r="H133" s="5">
        <v>0</v>
      </c>
      <c r="I133" s="13">
        <f t="shared" si="46"/>
        <v>0.968271334792123</v>
      </c>
      <c r="J133" s="32"/>
      <c r="K133" s="33"/>
      <c r="L133" s="21"/>
    </row>
    <row r="134" s="1" customFormat="1" ht="25" customHeight="1" spans="2:12">
      <c r="B134" s="6">
        <v>67</v>
      </c>
      <c r="C134" s="5" t="s">
        <v>126</v>
      </c>
      <c r="D134" s="5" t="s">
        <v>13</v>
      </c>
      <c r="E134" s="7"/>
      <c r="F134" s="5">
        <v>0.1</v>
      </c>
      <c r="G134" s="5">
        <v>0.001</v>
      </c>
      <c r="H134" s="5">
        <v>0</v>
      </c>
      <c r="I134" s="13">
        <f t="shared" si="46"/>
        <v>0.01</v>
      </c>
      <c r="J134" s="30">
        <f t="shared" si="47"/>
        <v>1851.001</v>
      </c>
      <c r="K134" s="31">
        <f>K132+J134</f>
        <v>151860.006</v>
      </c>
      <c r="L134" s="20" t="s">
        <v>127</v>
      </c>
    </row>
    <row r="135" s="1" customFormat="1" ht="51" customHeight="1" spans="2:12">
      <c r="B135" s="8"/>
      <c r="C135" s="5" t="s">
        <v>126</v>
      </c>
      <c r="D135" s="5" t="s">
        <v>17</v>
      </c>
      <c r="E135" s="8"/>
      <c r="F135" s="5">
        <v>1828</v>
      </c>
      <c r="G135" s="29">
        <v>1851</v>
      </c>
      <c r="H135" s="5">
        <v>0</v>
      </c>
      <c r="I135" s="13">
        <f t="shared" si="46"/>
        <v>1.01258205689278</v>
      </c>
      <c r="J135" s="32"/>
      <c r="K135" s="33"/>
      <c r="L135" s="21"/>
    </row>
    <row r="136" s="1" customFormat="1" ht="25" customHeight="1" spans="2:12">
      <c r="B136" s="6">
        <v>68</v>
      </c>
      <c r="C136" s="5" t="s">
        <v>128</v>
      </c>
      <c r="D136" s="5" t="s">
        <v>13</v>
      </c>
      <c r="E136" s="7"/>
      <c r="F136" s="5">
        <v>0.1</v>
      </c>
      <c r="G136" s="5">
        <v>0.001</v>
      </c>
      <c r="H136" s="5">
        <v>0</v>
      </c>
      <c r="I136" s="13">
        <f t="shared" si="46"/>
        <v>0.01</v>
      </c>
      <c r="J136" s="30">
        <f t="shared" si="47"/>
        <v>1913.001</v>
      </c>
      <c r="K136" s="31">
        <f>K134+J136</f>
        <v>153773.007</v>
      </c>
      <c r="L136" s="20" t="s">
        <v>129</v>
      </c>
    </row>
    <row r="137" s="1" customFormat="1" ht="51" customHeight="1" spans="2:12">
      <c r="B137" s="8"/>
      <c r="C137" s="5" t="s">
        <v>128</v>
      </c>
      <c r="D137" s="5" t="s">
        <v>17</v>
      </c>
      <c r="E137" s="8"/>
      <c r="F137" s="5">
        <v>1828</v>
      </c>
      <c r="G137" s="29">
        <v>1913</v>
      </c>
      <c r="H137" s="5">
        <v>0</v>
      </c>
      <c r="I137" s="13">
        <f t="shared" si="46"/>
        <v>1.0464989059081</v>
      </c>
      <c r="J137" s="32"/>
      <c r="K137" s="33"/>
      <c r="L137" s="21"/>
    </row>
    <row r="138" spans="2:12">
      <c r="B138" s="5"/>
      <c r="C138" s="34"/>
      <c r="D138" s="5"/>
      <c r="E138" s="5"/>
      <c r="F138" s="5"/>
      <c r="G138" s="5"/>
      <c r="H138" s="5"/>
      <c r="I138" s="5"/>
      <c r="J138" s="5"/>
      <c r="K138" s="5"/>
      <c r="L138" s="5"/>
    </row>
    <row r="139" spans="2:12"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</row>
    <row r="140" spans="2:12"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</row>
    <row r="141" spans="2:12"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</row>
    <row r="142" spans="2:12"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</row>
    <row r="143" spans="2:12"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</row>
    <row r="144" spans="2:12"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</row>
    <row r="145" spans="2:12"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</row>
    <row r="146" spans="2:12"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</row>
    <row r="147" spans="2:12"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</row>
    <row r="148" spans="2:12"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</row>
    <row r="149" spans="2:12"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</row>
    <row r="150" spans="2:12"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</row>
    <row r="151" spans="2:12"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</row>
    <row r="152" spans="2:12"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</row>
    <row r="153" spans="2:12"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</row>
    <row r="154" spans="2:12"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</row>
    <row r="155" spans="2:12"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</row>
    <row r="156" spans="2:12"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</row>
    <row r="157" spans="2:12"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</row>
    <row r="158" spans="2:12"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</row>
    <row r="159" spans="2:12"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</row>
    <row r="160" spans="2:12"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</row>
    <row r="161" spans="2:12"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</row>
    <row r="162" spans="2:12"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</row>
    <row r="163" spans="2:12"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</row>
    <row r="164" spans="2:12"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</row>
    <row r="165" spans="2:12"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</row>
    <row r="166" spans="2:12"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</row>
    <row r="167" spans="2:12"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</row>
    <row r="168" spans="2:12"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</row>
    <row r="169" spans="2:12"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</row>
  </sheetData>
  <mergeCells count="263">
    <mergeCell ref="B2:L2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E4:E73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K42:K43"/>
    <mergeCell ref="K44:K45"/>
    <mergeCell ref="K46:K47"/>
    <mergeCell ref="K48:K49"/>
    <mergeCell ref="K50:K51"/>
    <mergeCell ref="K52:K53"/>
    <mergeCell ref="K54:K55"/>
    <mergeCell ref="K56:K57"/>
    <mergeCell ref="K58:K59"/>
    <mergeCell ref="K60:K61"/>
    <mergeCell ref="K62:K63"/>
    <mergeCell ref="K64:K65"/>
    <mergeCell ref="K66:K67"/>
    <mergeCell ref="K68:K69"/>
    <mergeCell ref="K70:K71"/>
    <mergeCell ref="K72:K73"/>
    <mergeCell ref="K74:K75"/>
    <mergeCell ref="K76:K77"/>
    <mergeCell ref="K78:K79"/>
    <mergeCell ref="K80:K81"/>
    <mergeCell ref="K82:K83"/>
    <mergeCell ref="K84:K85"/>
    <mergeCell ref="K86:K87"/>
    <mergeCell ref="K88:K89"/>
    <mergeCell ref="K90:K91"/>
    <mergeCell ref="K92:K93"/>
    <mergeCell ref="K94:K95"/>
    <mergeCell ref="K96:K97"/>
    <mergeCell ref="K98:K99"/>
    <mergeCell ref="K100:K101"/>
    <mergeCell ref="K102:K103"/>
    <mergeCell ref="K104:K105"/>
    <mergeCell ref="K106:K107"/>
    <mergeCell ref="K108:K109"/>
    <mergeCell ref="K110:K111"/>
    <mergeCell ref="K112:K113"/>
    <mergeCell ref="K114:K115"/>
    <mergeCell ref="K116:K117"/>
    <mergeCell ref="K118:K119"/>
    <mergeCell ref="K120:K121"/>
    <mergeCell ref="K122:K123"/>
    <mergeCell ref="K124:K125"/>
    <mergeCell ref="K126:K127"/>
    <mergeCell ref="K128:K129"/>
    <mergeCell ref="K130:K131"/>
    <mergeCell ref="K132:K133"/>
    <mergeCell ref="K134:K135"/>
    <mergeCell ref="K136:K137"/>
    <mergeCell ref="L6:L7"/>
    <mergeCell ref="L8:L9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L104:L105"/>
    <mergeCell ref="L106:L107"/>
    <mergeCell ref="L108:L109"/>
    <mergeCell ref="L110:L111"/>
    <mergeCell ref="L112:L113"/>
    <mergeCell ref="L114:L115"/>
    <mergeCell ref="L116:L117"/>
    <mergeCell ref="L118:L119"/>
    <mergeCell ref="L120:L121"/>
    <mergeCell ref="L122:L123"/>
    <mergeCell ref="L124:L125"/>
    <mergeCell ref="L126:L127"/>
    <mergeCell ref="L128:L129"/>
    <mergeCell ref="L130:L131"/>
    <mergeCell ref="L132:L133"/>
    <mergeCell ref="L134:L135"/>
    <mergeCell ref="L136:L137"/>
  </mergeCells>
  <pageMargins left="0.7" right="0.7" top="0.75" bottom="0.75" header="0.3" footer="0.3"/>
  <pageSetup paperSize="1" scale="38" orientation="portrait"/>
  <headerFooter/>
  <rowBreaks count="1" manualBreakCount="1">
    <brk id="67" max="1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CNC PRODUCTION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b.singaram</dc:creator>
  <cp:lastModifiedBy>b.singaram</cp:lastModifiedBy>
  <dcterms:created xsi:type="dcterms:W3CDTF">2026-10-06T10:48:42Z</dcterms:created>
  <dcterms:modified xsi:type="dcterms:W3CDTF">2026-10-06T10:48:58Z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1D647C57ECB74CFABF07D86CD9F73DA1</vt:lpwstr>
  </property>
  <property fmtid="{D5CDD505-2E9C-101B-9397-08002B2CF9AE}" pid="3" name="KSOProductBuildVer">
    <vt:lpwstr>1033-11.2.0.11536</vt:lpwstr>
  </property>
</Properties>
</file>