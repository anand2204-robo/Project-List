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75"/>
  </bookViews>
  <sheets>
    <sheet name="Sheet2" sheetId="1" r:id="rId1"/>
  </sheets>
  <calcPr calcId="144525"/>
</workbook>
</file>

<file path=xl/sharedStrings.xml><?xml version="1.0" encoding="utf-8"?>
<sst xmlns="http://schemas.openxmlformats.org/spreadsheetml/2006/main" count="233" uniqueCount="178">
  <si>
    <t>PROCESS DATASHEET FOR ROBOT INVESTMENT</t>
  </si>
  <si>
    <t>11.07.2026</t>
  </si>
  <si>
    <t>Plant Confirmed DATA</t>
  </si>
  <si>
    <t>Proposed Project Data</t>
  </si>
  <si>
    <t>Automation Process</t>
  </si>
  <si>
    <t>Prodn Plant</t>
  </si>
  <si>
    <t>Part No.</t>
  </si>
  <si>
    <t>Material Code</t>
  </si>
  <si>
    <t>Material Description</t>
  </si>
  <si>
    <t>Work Centre</t>
  </si>
  <si>
    <t>Workcentre Description</t>
  </si>
  <si>
    <t>Process Cycle Time (Incl. Loading &amp; Unloading) (Secs)</t>
  </si>
  <si>
    <t>Present Theoritical Output /Hr (Nos.)</t>
  </si>
  <si>
    <t>Present Total Manpower Considered/Shift (Nos.)</t>
  </si>
  <si>
    <t>Proposed Theoritical Output /Hr. (Nos.)</t>
  </si>
  <si>
    <t>Proposed Total Manpower Considered /Shift (Nos.)</t>
  </si>
  <si>
    <t>Stellantis Line</t>
  </si>
  <si>
    <t>Phase 1</t>
  </si>
  <si>
    <t>S1101822T053</t>
  </si>
  <si>
    <t>S01101822T-020-SPKT-CNC TURNING I</t>
  </si>
  <si>
    <t>GR-TU-61</t>
  </si>
  <si>
    <t>STARTURN CNC-TURNING M/C-LMW-12KW-TU-61</t>
  </si>
  <si>
    <t>GR-TU-67</t>
  </si>
  <si>
    <t>STARTTURN CNC TURNING -LMW-12KW-TU67</t>
  </si>
  <si>
    <t>Not Updated in SAP</t>
  </si>
  <si>
    <t>Ultrasonic Washing</t>
  </si>
  <si>
    <t>GR-US-01</t>
  </si>
  <si>
    <t>ULTRASONIC MACHINE</t>
  </si>
  <si>
    <t>Inspection Scanner Unit</t>
  </si>
  <si>
    <t>Oil Wash Unit</t>
  </si>
  <si>
    <t>BMW RAD Line</t>
  </si>
  <si>
    <t>OP 10</t>
  </si>
  <si>
    <t>PEDB023841020020</t>
  </si>
  <si>
    <t>PED3841-PLW LIGHT WEIGHT-CNC I</t>
  </si>
  <si>
    <t>KM-TU-22</t>
  </si>
  <si>
    <t>CNC TURNING CENTRE-SMART TURN-22</t>
  </si>
  <si>
    <t>KM-TU-24</t>
  </si>
  <si>
    <t>CNC TURNING CENTRE-SMART TURN-24</t>
  </si>
  <si>
    <t>OP 20</t>
  </si>
  <si>
    <t>PEDB023841030030</t>
  </si>
  <si>
    <t>PED3841-PLW LIGHT WEIGHT-CNC II</t>
  </si>
  <si>
    <t>KM-TU-23</t>
  </si>
  <si>
    <t>CNC TURNING CENTRE-SMART TURN-23</t>
  </si>
  <si>
    <t>KM-TU-20</t>
  </si>
  <si>
    <t>CNC TURNING CENTRE-SMART TURN-20</t>
  </si>
  <si>
    <t>OP 30</t>
  </si>
  <si>
    <t>PEDB023841036050</t>
  </si>
  <si>
    <t>PED3841-PLW LIGHT WEIGHT-VMC II-5TH AXIS</t>
  </si>
  <si>
    <t>KM-VM-33</t>
  </si>
  <si>
    <t>CNC VMC M/C-AMS-33</t>
  </si>
  <si>
    <t>KM-VM-31</t>
  </si>
  <si>
    <t>CNC VMC M/C-AMS-31</t>
  </si>
  <si>
    <t>KM-VM-24</t>
  </si>
  <si>
    <t>CNC VMC M/C-JV55-24</t>
  </si>
  <si>
    <t>KM-VM-13</t>
  </si>
  <si>
    <t>CNC VMC M/C-LMW-JV55-13</t>
  </si>
  <si>
    <t>OP 40</t>
  </si>
  <si>
    <t>PEDB023841099090</t>
  </si>
  <si>
    <t>PED3841-PLW LIGHT WEIGHT-HARD TURN</t>
  </si>
  <si>
    <t>KM-TU-21</t>
  </si>
  <si>
    <t>CNC TURNING CENTRE-SMART TURN-21</t>
  </si>
  <si>
    <t>Helical Machine Line</t>
  </si>
  <si>
    <t>981 OP10</t>
  </si>
  <si>
    <t>BCWVT00981BRD-070</t>
  </si>
  <si>
    <t>BCWVT00981BRD - CNC 1</t>
  </si>
  <si>
    <t>BV-TC028</t>
  </si>
  <si>
    <t>SMARTURN CNC LATHE-LMW-28</t>
  </si>
  <si>
    <t>981 OP20</t>
  </si>
  <si>
    <t>BCWVT00981BRD-090</t>
  </si>
  <si>
    <t>BCWVT00981BRD - CNC 2</t>
  </si>
  <si>
    <t>BV-TC006</t>
  </si>
  <si>
    <t>ACECUB TURNING CENTRE-6</t>
  </si>
  <si>
    <t>982 OP10</t>
  </si>
  <si>
    <t>BCWVT00982BRT-070</t>
  </si>
  <si>
    <t>BCWVT00982BRT-CNC 1</t>
  </si>
  <si>
    <t>BV-TM008</t>
  </si>
  <si>
    <t>HWACHEON HORIZONTAL-TURNMILL-8</t>
  </si>
  <si>
    <t>982 OP20</t>
  </si>
  <si>
    <t>BCWVT00982BRT-090</t>
  </si>
  <si>
    <t>BCWVT00982BRT-CNC 2</t>
  </si>
  <si>
    <t>BV-TC004</t>
  </si>
  <si>
    <t>MAZAK TURNING CENTER-4</t>
  </si>
  <si>
    <t>1386 OP10</t>
  </si>
  <si>
    <t>BCWVT01386BR-070</t>
  </si>
  <si>
    <t>BCWVT01386BR-CNC 1</t>
  </si>
  <si>
    <t>BV-TC029</t>
  </si>
  <si>
    <t>SMARTURN CNC LATHE-LMW-29</t>
  </si>
  <si>
    <t>1386 OP20</t>
  </si>
  <si>
    <t>BCWVT01386BR-090</t>
  </si>
  <si>
    <t>BCWVT01386BR-CNC 2</t>
  </si>
  <si>
    <t>BV-TC005</t>
  </si>
  <si>
    <t>ACECUB TURNING CENTRE-5</t>
  </si>
  <si>
    <t>1790 OP10</t>
  </si>
  <si>
    <t>BCWVT01790BR-070</t>
  </si>
  <si>
    <t>BCWVT01790BR-CNC 1</t>
  </si>
  <si>
    <t>BV-TC016</t>
  </si>
  <si>
    <t>ACECUB TURNING CENTRE-16</t>
  </si>
  <si>
    <t>1790 OP20</t>
  </si>
  <si>
    <t>BCWVT01790BR-090</t>
  </si>
  <si>
    <t>BCWVT01790BR-CNC 2</t>
  </si>
  <si>
    <t>BV-TC015</t>
  </si>
  <si>
    <t>ACECUB TURNING CENTRE-15</t>
  </si>
  <si>
    <t>Ather Machine Line</t>
  </si>
  <si>
    <t>OP10 CNC 1</t>
  </si>
  <si>
    <t>S11564A51T053</t>
  </si>
  <si>
    <t>S011564A51T-090-GEAR-CNC TURNING I</t>
  </si>
  <si>
    <t>GR-TU-82</t>
  </si>
  <si>
    <t>LL20TL3 CNC LATHE FANUC-LMW-22.77 -TU-82</t>
  </si>
  <si>
    <t>OP20 CNC 1</t>
  </si>
  <si>
    <t>S11564A51T007</t>
  </si>
  <si>
    <t>S011564A51T-100-GEAR-CNC TURNING</t>
  </si>
  <si>
    <t>GR-TU-79</t>
  </si>
  <si>
    <t>LL20TL3 CNC LATHE FANUC-LMW-22.77 -TU-79</t>
  </si>
  <si>
    <t>S11564B24T053</t>
  </si>
  <si>
    <t>S011564B24T-080-GEAR-CNC TURNING I</t>
  </si>
  <si>
    <t>S11564B24T007</t>
  </si>
  <si>
    <t>S011564B24T-090-GEAR-CNC TURNING</t>
  </si>
  <si>
    <t>GR-TU-83</t>
  </si>
  <si>
    <t>LL20TL3 CNC LATHE FANUC-LMW-22.77 -TU-83</t>
  </si>
  <si>
    <t>S1156317T053</t>
  </si>
  <si>
    <t>S01156317T-080-GEAR-CNC TURNING I</t>
  </si>
  <si>
    <t>S1156317T007</t>
  </si>
  <si>
    <t>S01156317T-090-GEAR-CNC TURNING</t>
  </si>
  <si>
    <t>S11561A53T053</t>
  </si>
  <si>
    <t>S011561A53T-080-GEAR-CNC TURNING I</t>
  </si>
  <si>
    <t>GR-TU-84</t>
  </si>
  <si>
    <t>LL20TL3 CNC LATHE FANUC-LMW-22.77 -TU-84</t>
  </si>
  <si>
    <t>S11561A53T007</t>
  </si>
  <si>
    <t>S011561A53T-090-GEAR-CNC TURNING</t>
  </si>
  <si>
    <t>S11561B16T053</t>
  </si>
  <si>
    <t>S011561B16T-080-GEAR-CNC TURNING I</t>
  </si>
  <si>
    <t>GR-TU-80</t>
  </si>
  <si>
    <t>LL20TL3 CNC LATHE FANUC-LMW-22.77 -TU-80</t>
  </si>
  <si>
    <t>S11561B16T007</t>
  </si>
  <si>
    <t>S011561B16T-090-GEAR-CNC TURNING</t>
  </si>
  <si>
    <t>GR-TU-77</t>
  </si>
  <si>
    <t>LL20TL3 CNC LATHE FANUC-LMW-22.77 -TU-77</t>
  </si>
  <si>
    <t>Daimler, TVS Machine Line</t>
  </si>
  <si>
    <t>1217 - OP10</t>
  </si>
  <si>
    <t>S1121790T007</t>
  </si>
  <si>
    <t>S01121790T-110-GEAR-CNC TURNING</t>
  </si>
  <si>
    <t>GR-TU-48</t>
  </si>
  <si>
    <t>LL20T L3 CNC LATHE-LMW-26 -TU-48</t>
  </si>
  <si>
    <t>1217 - OP20</t>
  </si>
  <si>
    <t>S1121790T053</t>
  </si>
  <si>
    <t>S01121790T-100-GEAR-CNC TURNING I</t>
  </si>
  <si>
    <t>GR-TU-49</t>
  </si>
  <si>
    <t>LL20T L3 CNC LATHE-LMW-26 -TU-49</t>
  </si>
  <si>
    <t>1218 - OP10</t>
  </si>
  <si>
    <t>S1121873T007</t>
  </si>
  <si>
    <t>S01121873T-040-GEAR-CNC TURNING</t>
  </si>
  <si>
    <t>GR-TU-50</t>
  </si>
  <si>
    <t>LL20T L3 CNC LATHE-LMW-26 -TU-50</t>
  </si>
  <si>
    <t>1218 - OP20</t>
  </si>
  <si>
    <t>S1121873T053</t>
  </si>
  <si>
    <t>S01121873T-030-GEAR-CNC TURNING I</t>
  </si>
  <si>
    <t>GR-TU-51</t>
  </si>
  <si>
    <t>LL20T L3 CNC LATHE-LMW-26 -TU-51</t>
  </si>
  <si>
    <t>1361 - OP10</t>
  </si>
  <si>
    <t>S1136165T007</t>
  </si>
  <si>
    <t>S01136165T-140-GEAR-CNC TURNING</t>
  </si>
  <si>
    <t>GR-TU-55</t>
  </si>
  <si>
    <t>LL20T L3 CNC LATHE-LMW-28 -TU-55</t>
  </si>
  <si>
    <t>1361 - OP20</t>
  </si>
  <si>
    <t>S1136165T053</t>
  </si>
  <si>
    <t>S01136165T-130-GEAR-CNC TURNING I</t>
  </si>
  <si>
    <t>GR-TU-63</t>
  </si>
  <si>
    <t>LL20T L3-CNC-TURNING M/C-LMW-28P-TU-63</t>
  </si>
  <si>
    <t>1142 - OP10</t>
  </si>
  <si>
    <t>S1114276T007</t>
  </si>
  <si>
    <t>S01114276T-090-GEAR-CNC TURNING</t>
  </si>
  <si>
    <t>GR-TU-41</t>
  </si>
  <si>
    <t>LL20T L3 CNC LATHE-LMW-26HP-TU-41-S.NO97</t>
  </si>
  <si>
    <t>1142 - OP20</t>
  </si>
  <si>
    <t>S1114276T053</t>
  </si>
  <si>
    <t>S01114276T-080-GEAR-CNC TURNING I</t>
  </si>
  <si>
    <t>GR-TU-42</t>
  </si>
  <si>
    <t>LL20T L3 CNC LATHE-LMW-26HP-TU-42-S.NO98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</si>
</sst>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9">
    <font>
      <sz val="11"/>
      <color theme="1"/>
      <name val="Calibri"/>
      <charset val="134"/>
      <scheme val="minor"/>
    </font>
    <font>
      <b/>
      <u/>
      <sz val="26"/>
      <color rgb="FF0000FF"/>
      <name val="Calibri"/>
      <charset val="134"/>
      <scheme val="minor"/>
    </font>
    <font>
      <b/>
      <i/>
      <u/>
      <sz val="20"/>
      <color rgb="FFC0000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u/>
      <sz val="16"/>
      <color rgb="FFC00000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9" borderId="0" applyNumberFormat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20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9" fillId="21" borderId="18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4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5" fillId="11" borderId="15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1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1" fontId="4" fillId="4" borderId="1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6" xfId="0" applyBorder="1"/>
    <xf numFmtId="1" fontId="5" fillId="0" borderId="4" xfId="0" applyNumberFormat="1" applyFont="1" applyBorder="1"/>
    <xf numFmtId="0" fontId="0" fillId="0" borderId="7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1" fontId="5" fillId="0" borderId="7" xfId="0" applyNumberFormat="1" applyFont="1" applyBorder="1"/>
    <xf numFmtId="0" fontId="0" fillId="0" borderId="8" xfId="0" applyBorder="1" applyAlignment="1">
      <alignment horizontal="left"/>
    </xf>
    <xf numFmtId="0" fontId="6" fillId="0" borderId="0" xfId="0" applyFont="1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6" fillId="0" borderId="10" xfId="0" applyFont="1" applyBorder="1"/>
    <xf numFmtId="0" fontId="0" fillId="0" borderId="10" xfId="0" applyBorder="1"/>
    <xf numFmtId="0" fontId="0" fillId="0" borderId="9" xfId="0" applyBorder="1" applyAlignment="1">
      <alignment horizontal="left"/>
    </xf>
    <xf numFmtId="0" fontId="0" fillId="0" borderId="11" xfId="0" applyBorder="1"/>
    <xf numFmtId="1" fontId="5" fillId="0" borderId="9" xfId="0" applyNumberFormat="1" applyFont="1" applyBorder="1"/>
    <xf numFmtId="0" fontId="0" fillId="0" borderId="0" xfId="0" applyBorder="1" applyAlignment="1"/>
    <xf numFmtId="2" fontId="7" fillId="0" borderId="0" xfId="0" applyNumberFormat="1" applyFont="1" applyAlignment="1">
      <alignment horizontal="right"/>
    </xf>
    <xf numFmtId="1" fontId="3" fillId="2" borderId="2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0" fontId="0" fillId="5" borderId="2" xfId="0" applyFill="1" applyBorder="1"/>
    <xf numFmtId="1" fontId="3" fillId="6" borderId="1" xfId="0" applyNumberFormat="1" applyFont="1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1" fontId="3" fillId="6" borderId="3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right" vertical="center" wrapText="1"/>
    </xf>
    <xf numFmtId="2" fontId="4" fillId="4" borderId="3" xfId="0" applyNumberFormat="1" applyFont="1" applyFill="1" applyBorder="1" applyAlignment="1">
      <alignment horizontal="right" vertical="center" wrapText="1"/>
    </xf>
    <xf numFmtId="1" fontId="4" fillId="7" borderId="1" xfId="0" applyNumberFormat="1" applyFont="1" applyFill="1" applyBorder="1" applyAlignment="1">
      <alignment horizontal="right" vertical="center" wrapText="1"/>
    </xf>
    <xf numFmtId="2" fontId="4" fillId="7" borderId="2" xfId="0" applyNumberFormat="1" applyFont="1" applyFill="1" applyBorder="1" applyAlignment="1">
      <alignment horizontal="right" vertical="center" wrapText="1"/>
    </xf>
    <xf numFmtId="2" fontId="4" fillId="7" borderId="3" xfId="0" applyNumberFormat="1" applyFont="1" applyFill="1" applyBorder="1" applyAlignment="1">
      <alignment horizontal="right" vertical="center" wrapText="1"/>
    </xf>
    <xf numFmtId="1" fontId="5" fillId="0" borderId="5" xfId="0" applyNumberFormat="1" applyFont="1" applyBorder="1"/>
    <xf numFmtId="2" fontId="5" fillId="0" borderId="6" xfId="0" applyNumberFormat="1" applyFont="1" applyBorder="1"/>
    <xf numFmtId="0" fontId="5" fillId="5" borderId="5" xfId="0" applyFont="1" applyFill="1" applyBorder="1"/>
    <xf numFmtId="2" fontId="5" fillId="0" borderId="0" xfId="0" applyNumberFormat="1" applyFont="1" applyBorder="1"/>
    <xf numFmtId="2" fontId="5" fillId="0" borderId="8" xfId="0" applyNumberFormat="1" applyFont="1" applyBorder="1"/>
    <xf numFmtId="1" fontId="5" fillId="0" borderId="0" xfId="0" applyNumberFormat="1" applyFont="1" applyBorder="1"/>
    <xf numFmtId="0" fontId="5" fillId="5" borderId="0" xfId="0" applyFont="1" applyFill="1" applyBorder="1"/>
    <xf numFmtId="1" fontId="5" fillId="0" borderId="0" xfId="0" applyNumberFormat="1" applyFont="1" applyBorder="1" applyAlignment="1">
      <alignment horizontal="right"/>
    </xf>
    <xf numFmtId="2" fontId="5" fillId="0" borderId="8" xfId="0" applyNumberFormat="1" applyFont="1" applyBorder="1" applyAlignment="1">
      <alignment horizontal="right"/>
    </xf>
    <xf numFmtId="1" fontId="8" fillId="3" borderId="7" xfId="0" applyNumberFormat="1" applyFont="1" applyFill="1" applyBorder="1" applyAlignment="1">
      <alignment horizontal="right"/>
    </xf>
    <xf numFmtId="2" fontId="5" fillId="7" borderId="8" xfId="0" applyNumberFormat="1" applyFont="1" applyFill="1" applyBorder="1" applyAlignment="1">
      <alignment horizontal="right"/>
    </xf>
    <xf numFmtId="2" fontId="5" fillId="0" borderId="12" xfId="0" applyNumberFormat="1" applyFont="1" applyBorder="1"/>
    <xf numFmtId="1" fontId="5" fillId="0" borderId="10" xfId="0" applyNumberFormat="1" applyFont="1" applyBorder="1"/>
    <xf numFmtId="2" fontId="5" fillId="0" borderId="11" xfId="0" applyNumberFormat="1" applyFont="1" applyBorder="1"/>
    <xf numFmtId="0" fontId="5" fillId="5" borderId="10" xfId="0" applyFont="1" applyFill="1" applyBorder="1"/>
    <xf numFmtId="1" fontId="5" fillId="0" borderId="4" xfId="0" applyNumberFormat="1" applyFont="1" applyBorder="1" applyAlignment="1">
      <alignment horizontal="right"/>
    </xf>
    <xf numFmtId="2" fontId="5" fillId="0" borderId="5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right"/>
    </xf>
    <xf numFmtId="1" fontId="5" fillId="0" borderId="7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2" fontId="5" fillId="0" borderId="10" xfId="0" applyNumberFormat="1" applyFont="1" applyBorder="1"/>
    <xf numFmtId="1" fontId="5" fillId="7" borderId="7" xfId="0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5" fillId="0" borderId="9" xfId="0" applyNumberFormat="1" applyFont="1" applyBorder="1" applyAlignment="1">
      <alignment horizontal="right"/>
    </xf>
    <xf numFmtId="2" fontId="5" fillId="0" borderId="10" xfId="0" applyNumberFormat="1" applyFont="1" applyBorder="1" applyAlignment="1">
      <alignment horizontal="right"/>
    </xf>
    <xf numFmtId="2" fontId="5" fillId="0" borderId="11" xfId="0" applyNumberFormat="1" applyFont="1" applyBorder="1" applyAlignment="1">
      <alignment horizontal="righ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"/>
  <sheetViews>
    <sheetView tabSelected="1" zoomScale="55" zoomScaleNormal="55" workbookViewId="0">
      <pane xSplit="5" ySplit="4" topLeftCell="F5" activePane="bottomRight" state="frozen"/>
      <selection/>
      <selection pane="topRight"/>
      <selection pane="bottomLeft"/>
      <selection pane="bottomRight" activeCell="Z17" sqref="Z17"/>
    </sheetView>
  </sheetViews>
  <sheetFormatPr defaultColWidth="9" defaultRowHeight="15"/>
  <cols>
    <col min="1" max="1" width="15.4285714285714" customWidth="1"/>
    <col min="2" max="2" width="10.7142857142857" customWidth="1"/>
    <col min="3" max="3" width="8.14285714285714" style="1" customWidth="1"/>
    <col min="4" max="4" width="25.8571428571429" customWidth="1"/>
    <col min="5" max="5" width="47.8571428571429" customWidth="1"/>
    <col min="6" max="6" width="17" style="1" customWidth="1"/>
    <col min="7" max="7" width="54.4285714285714" customWidth="1"/>
    <col min="8" max="9" width="19" style="2" customWidth="1"/>
    <col min="10" max="10" width="19" style="3" customWidth="1"/>
    <col min="11" max="11" width="1.28571428571429" customWidth="1"/>
    <col min="12" max="12" width="19" style="4" customWidth="1"/>
    <col min="13" max="14" width="19" style="5" customWidth="1"/>
  </cols>
  <sheetData>
    <row r="1" ht="33.75" spans="1:14">
      <c r="A1" s="6" t="s">
        <v>0</v>
      </c>
      <c r="N1" s="35" t="s">
        <v>1</v>
      </c>
    </row>
    <row r="2" ht="34.5" spans="1:1">
      <c r="A2" s="6"/>
    </row>
    <row r="3" ht="27" spans="2:14">
      <c r="B3" s="7"/>
      <c r="H3" s="8" t="s">
        <v>2</v>
      </c>
      <c r="I3" s="36"/>
      <c r="J3" s="37"/>
      <c r="K3" s="38"/>
      <c r="L3" s="39" t="s">
        <v>3</v>
      </c>
      <c r="M3" s="40"/>
      <c r="N3" s="41"/>
    </row>
    <row r="4" ht="106.5" customHeight="1" spans="1:14">
      <c r="A4" s="9" t="s">
        <v>4</v>
      </c>
      <c r="B4" s="10" t="s">
        <v>5</v>
      </c>
      <c r="C4" s="10" t="s">
        <v>6</v>
      </c>
      <c r="D4" s="11" t="s">
        <v>7</v>
      </c>
      <c r="E4" s="11" t="s">
        <v>8</v>
      </c>
      <c r="F4" s="9" t="s">
        <v>9</v>
      </c>
      <c r="G4" s="12" t="s">
        <v>10</v>
      </c>
      <c r="H4" s="13" t="s">
        <v>11</v>
      </c>
      <c r="I4" s="42" t="s">
        <v>12</v>
      </c>
      <c r="J4" s="43" t="s">
        <v>13</v>
      </c>
      <c r="K4" s="38"/>
      <c r="L4" s="44" t="s">
        <v>11</v>
      </c>
      <c r="M4" s="45" t="s">
        <v>14</v>
      </c>
      <c r="N4" s="46" t="s">
        <v>15</v>
      </c>
    </row>
    <row r="5" ht="26.25" spans="1:14">
      <c r="A5" s="14" t="s">
        <v>16</v>
      </c>
      <c r="B5" s="15"/>
      <c r="C5" s="15"/>
      <c r="D5" s="15"/>
      <c r="E5" s="15"/>
      <c r="F5" s="16"/>
      <c r="G5" s="17"/>
      <c r="H5" s="18"/>
      <c r="I5" s="47"/>
      <c r="J5" s="48"/>
      <c r="K5" s="49"/>
      <c r="L5" s="24"/>
      <c r="M5" s="50"/>
      <c r="N5" s="51"/>
    </row>
    <row r="6" ht="15.75" spans="1:14">
      <c r="A6" s="19"/>
      <c r="B6" s="20"/>
      <c r="C6" s="21"/>
      <c r="D6" s="20"/>
      <c r="E6" s="20"/>
      <c r="F6" s="22"/>
      <c r="G6" s="23"/>
      <c r="H6" s="24"/>
      <c r="I6" s="52"/>
      <c r="J6" s="51"/>
      <c r="K6" s="53"/>
      <c r="L6" s="24"/>
      <c r="M6" s="50"/>
      <c r="N6" s="51"/>
    </row>
    <row r="7" ht="15.75" spans="1:14">
      <c r="A7" s="19" t="s">
        <v>17</v>
      </c>
      <c r="B7" s="21">
        <v>2650</v>
      </c>
      <c r="C7" s="21">
        <v>1018</v>
      </c>
      <c r="D7" s="20" t="s">
        <v>18</v>
      </c>
      <c r="E7" s="20" t="s">
        <v>19</v>
      </c>
      <c r="F7" s="22" t="s">
        <v>20</v>
      </c>
      <c r="G7" s="25" t="s">
        <v>21</v>
      </c>
      <c r="H7" s="24">
        <v>36</v>
      </c>
      <c r="I7" s="54">
        <v>100</v>
      </c>
      <c r="J7" s="55">
        <v>1</v>
      </c>
      <c r="K7" s="53"/>
      <c r="L7" s="56"/>
      <c r="M7" s="50"/>
      <c r="N7" s="57">
        <v>0.5</v>
      </c>
    </row>
    <row r="8" ht="15.75" spans="1:14">
      <c r="A8" s="19" t="s">
        <v>17</v>
      </c>
      <c r="B8" s="21">
        <v>2650</v>
      </c>
      <c r="C8" s="21">
        <v>1018</v>
      </c>
      <c r="D8" s="20" t="s">
        <v>18</v>
      </c>
      <c r="E8" s="20" t="s">
        <v>19</v>
      </c>
      <c r="F8" s="22" t="s">
        <v>22</v>
      </c>
      <c r="G8" s="25" t="s">
        <v>23</v>
      </c>
      <c r="H8" s="24">
        <v>36</v>
      </c>
      <c r="I8" s="54">
        <v>100</v>
      </c>
      <c r="J8" s="55">
        <v>1</v>
      </c>
      <c r="K8" s="53"/>
      <c r="L8" s="56"/>
      <c r="M8" s="50"/>
      <c r="N8" s="57">
        <v>0.5</v>
      </c>
    </row>
    <row r="9" ht="15.75" spans="1:14">
      <c r="A9" s="19"/>
      <c r="B9" s="21"/>
      <c r="C9" s="21"/>
      <c r="D9" s="20"/>
      <c r="E9" s="20"/>
      <c r="F9" s="22"/>
      <c r="G9" s="25"/>
      <c r="H9" s="24"/>
      <c r="I9" s="54"/>
      <c r="J9" s="55"/>
      <c r="K9" s="53"/>
      <c r="L9" s="24"/>
      <c r="M9" s="50"/>
      <c r="N9" s="51"/>
    </row>
    <row r="10" ht="15.75" spans="1:14">
      <c r="A10" s="19" t="s">
        <v>17</v>
      </c>
      <c r="B10" s="21">
        <v>2650</v>
      </c>
      <c r="C10" s="21">
        <v>1018</v>
      </c>
      <c r="D10" s="20" t="s">
        <v>24</v>
      </c>
      <c r="E10" s="20" t="s">
        <v>25</v>
      </c>
      <c r="F10" s="22" t="s">
        <v>26</v>
      </c>
      <c r="G10" s="25" t="s">
        <v>27</v>
      </c>
      <c r="H10" s="24">
        <v>10.8</v>
      </c>
      <c r="I10" s="52">
        <v>333.333333333333</v>
      </c>
      <c r="J10" s="51">
        <v>1</v>
      </c>
      <c r="K10" s="53"/>
      <c r="L10" s="56"/>
      <c r="M10" s="50"/>
      <c r="N10" s="57">
        <v>0.333333333333333</v>
      </c>
    </row>
    <row r="11" ht="15.75" spans="1:14">
      <c r="A11" s="19" t="s">
        <v>17</v>
      </c>
      <c r="B11" s="21">
        <v>2650</v>
      </c>
      <c r="C11" s="21">
        <v>1018</v>
      </c>
      <c r="D11" s="20" t="s">
        <v>24</v>
      </c>
      <c r="E11" s="20" t="s">
        <v>28</v>
      </c>
      <c r="F11" s="22"/>
      <c r="G11" s="23"/>
      <c r="H11" s="24">
        <v>15</v>
      </c>
      <c r="I11" s="52">
        <v>240</v>
      </c>
      <c r="J11" s="51">
        <v>1</v>
      </c>
      <c r="K11" s="53"/>
      <c r="L11" s="56"/>
      <c r="M11" s="50"/>
      <c r="N11" s="57">
        <v>0.333333333333333</v>
      </c>
    </row>
    <row r="12" ht="15.75" spans="1:14">
      <c r="A12" s="19" t="s">
        <v>17</v>
      </c>
      <c r="B12" s="21">
        <v>2650</v>
      </c>
      <c r="C12" s="21">
        <v>1018</v>
      </c>
      <c r="D12" s="20" t="s">
        <v>24</v>
      </c>
      <c r="E12" s="20" t="s">
        <v>29</v>
      </c>
      <c r="F12" s="22"/>
      <c r="G12" s="23"/>
      <c r="H12" s="24">
        <v>15</v>
      </c>
      <c r="I12" s="52">
        <v>240</v>
      </c>
      <c r="J12" s="51">
        <v>1</v>
      </c>
      <c r="K12" s="53"/>
      <c r="L12" s="56"/>
      <c r="M12" s="50"/>
      <c r="N12" s="57">
        <v>0.333333333333333</v>
      </c>
    </row>
    <row r="13" ht="15.75" spans="1:14">
      <c r="A13" s="19"/>
      <c r="B13" s="21"/>
      <c r="C13" s="21"/>
      <c r="D13" s="26"/>
      <c r="E13" s="20"/>
      <c r="F13" s="22"/>
      <c r="G13" s="23"/>
      <c r="H13" s="24"/>
      <c r="I13" s="52"/>
      <c r="J13" s="51"/>
      <c r="K13" s="53"/>
      <c r="L13" s="24"/>
      <c r="M13" s="50"/>
      <c r="N13" s="51"/>
    </row>
    <row r="14" ht="16.5" spans="1:14">
      <c r="A14" s="19"/>
      <c r="B14" s="21"/>
      <c r="C14" s="21"/>
      <c r="D14" s="26"/>
      <c r="E14" s="20"/>
      <c r="F14" s="22"/>
      <c r="G14" s="23"/>
      <c r="H14" s="24"/>
      <c r="I14" s="52"/>
      <c r="J14" s="58">
        <v>5</v>
      </c>
      <c r="K14" s="53"/>
      <c r="L14" s="24"/>
      <c r="M14" s="50"/>
      <c r="N14" s="58">
        <v>2</v>
      </c>
    </row>
    <row r="15" ht="16.5" spans="1:14">
      <c r="A15" s="27"/>
      <c r="B15" s="28"/>
      <c r="C15" s="28"/>
      <c r="D15" s="29"/>
      <c r="E15" s="30"/>
      <c r="F15" s="31"/>
      <c r="G15" s="32"/>
      <c r="H15" s="33"/>
      <c r="I15" s="59"/>
      <c r="J15" s="60"/>
      <c r="K15" s="61"/>
      <c r="L15" s="24"/>
      <c r="M15" s="50"/>
      <c r="N15" s="51"/>
    </row>
    <row r="16" ht="26.25" spans="1:14">
      <c r="A16" s="14" t="s">
        <v>30</v>
      </c>
      <c r="B16" s="15"/>
      <c r="C16" s="15"/>
      <c r="D16" s="15"/>
      <c r="E16" s="15"/>
      <c r="F16" s="16"/>
      <c r="G16" s="17"/>
      <c r="H16" s="18"/>
      <c r="I16" s="47"/>
      <c r="J16" s="48"/>
      <c r="K16" s="49"/>
      <c r="L16" s="62"/>
      <c r="M16" s="63"/>
      <c r="N16" s="64"/>
    </row>
    <row r="17" ht="15.75" spans="1:14">
      <c r="A17" s="19"/>
      <c r="B17" s="20"/>
      <c r="C17" s="21"/>
      <c r="D17" s="20"/>
      <c r="E17" s="20"/>
      <c r="F17" s="22"/>
      <c r="G17" s="23"/>
      <c r="H17" s="24"/>
      <c r="I17" s="52"/>
      <c r="J17" s="51"/>
      <c r="K17" s="53"/>
      <c r="L17" s="65"/>
      <c r="M17" s="66"/>
      <c r="N17" s="55"/>
    </row>
    <row r="18" ht="15.75" spans="1:14">
      <c r="A18" s="19" t="s">
        <v>31</v>
      </c>
      <c r="B18" s="21">
        <v>2400</v>
      </c>
      <c r="C18" s="21">
        <v>3841</v>
      </c>
      <c r="D18" s="34" t="s">
        <v>32</v>
      </c>
      <c r="E18" s="34" t="s">
        <v>33</v>
      </c>
      <c r="F18" s="22" t="s">
        <v>34</v>
      </c>
      <c r="G18" s="25" t="s">
        <v>35</v>
      </c>
      <c r="H18" s="24">
        <v>90</v>
      </c>
      <c r="I18" s="52">
        <v>40</v>
      </c>
      <c r="J18" s="55">
        <v>1</v>
      </c>
      <c r="K18" s="53"/>
      <c r="L18" s="56">
        <v>138.461538461538</v>
      </c>
      <c r="M18" s="66">
        <v>26</v>
      </c>
      <c r="N18" s="57">
        <v>0.25</v>
      </c>
    </row>
    <row r="19" ht="15.75" spans="1:14">
      <c r="A19" s="19" t="s">
        <v>31</v>
      </c>
      <c r="B19" s="21">
        <v>2400</v>
      </c>
      <c r="C19" s="21">
        <v>3841</v>
      </c>
      <c r="D19" s="34" t="s">
        <v>32</v>
      </c>
      <c r="E19" s="34" t="s">
        <v>33</v>
      </c>
      <c r="F19" s="22" t="s">
        <v>36</v>
      </c>
      <c r="G19" s="25" t="s">
        <v>37</v>
      </c>
      <c r="H19" s="24">
        <v>90</v>
      </c>
      <c r="I19" s="52">
        <v>40</v>
      </c>
      <c r="J19" s="55">
        <v>1</v>
      </c>
      <c r="K19" s="53"/>
      <c r="L19" s="56">
        <v>138.461538461538</v>
      </c>
      <c r="M19" s="66">
        <v>26</v>
      </c>
      <c r="N19" s="57">
        <v>0.25</v>
      </c>
    </row>
    <row r="20" ht="15.75" spans="1:14">
      <c r="A20" s="19"/>
      <c r="B20" s="20"/>
      <c r="C20" s="21"/>
      <c r="D20" s="20"/>
      <c r="E20" s="20"/>
      <c r="F20" s="22"/>
      <c r="G20" s="25"/>
      <c r="H20" s="24"/>
      <c r="I20" s="52"/>
      <c r="J20" s="51"/>
      <c r="K20" s="53"/>
      <c r="L20" s="65"/>
      <c r="M20" s="66"/>
      <c r="N20" s="55"/>
    </row>
    <row r="21" ht="15.75" spans="1:14">
      <c r="A21" s="19" t="s">
        <v>38</v>
      </c>
      <c r="B21" s="21">
        <v>2400</v>
      </c>
      <c r="C21" s="21">
        <v>3841</v>
      </c>
      <c r="D21" s="34" t="s">
        <v>39</v>
      </c>
      <c r="E21" s="34" t="s">
        <v>40</v>
      </c>
      <c r="F21" s="22" t="s">
        <v>41</v>
      </c>
      <c r="G21" s="25" t="s">
        <v>42</v>
      </c>
      <c r="H21" s="24">
        <v>90</v>
      </c>
      <c r="I21" s="52">
        <v>40</v>
      </c>
      <c r="J21" s="55">
        <v>1</v>
      </c>
      <c r="K21" s="53"/>
      <c r="L21" s="56">
        <v>138.461538461538</v>
      </c>
      <c r="M21" s="66">
        <v>26</v>
      </c>
      <c r="N21" s="57">
        <v>0.25</v>
      </c>
    </row>
    <row r="22" ht="15.75" spans="1:14">
      <c r="A22" s="19" t="s">
        <v>38</v>
      </c>
      <c r="B22" s="21">
        <v>2400</v>
      </c>
      <c r="C22" s="21">
        <v>3841</v>
      </c>
      <c r="D22" s="34" t="s">
        <v>39</v>
      </c>
      <c r="E22" s="34" t="s">
        <v>40</v>
      </c>
      <c r="F22" s="22" t="s">
        <v>43</v>
      </c>
      <c r="G22" s="25" t="s">
        <v>44</v>
      </c>
      <c r="H22" s="24">
        <v>90</v>
      </c>
      <c r="I22" s="52">
        <v>40</v>
      </c>
      <c r="J22" s="55">
        <v>1</v>
      </c>
      <c r="K22" s="53"/>
      <c r="L22" s="56">
        <v>138.461538461538</v>
      </c>
      <c r="M22" s="66">
        <v>26</v>
      </c>
      <c r="N22" s="57">
        <v>0.25</v>
      </c>
    </row>
    <row r="23" ht="15.75" spans="1:14">
      <c r="A23" s="19"/>
      <c r="B23" s="20"/>
      <c r="C23" s="21"/>
      <c r="D23" s="20"/>
      <c r="E23" s="20"/>
      <c r="F23" s="22"/>
      <c r="G23" s="25"/>
      <c r="H23" s="24"/>
      <c r="I23" s="52"/>
      <c r="J23" s="51"/>
      <c r="K23" s="53"/>
      <c r="L23" s="65"/>
      <c r="M23" s="66"/>
      <c r="N23" s="55"/>
    </row>
    <row r="24" ht="15.75" spans="1:14">
      <c r="A24" s="19" t="s">
        <v>45</v>
      </c>
      <c r="B24" s="21">
        <v>2400</v>
      </c>
      <c r="C24" s="21">
        <v>3841</v>
      </c>
      <c r="D24" s="34" t="s">
        <v>46</v>
      </c>
      <c r="E24" s="34" t="s">
        <v>47</v>
      </c>
      <c r="F24" s="22" t="s">
        <v>48</v>
      </c>
      <c r="G24" s="25" t="s">
        <v>49</v>
      </c>
      <c r="H24" s="24">
        <v>360</v>
      </c>
      <c r="I24" s="52">
        <v>10</v>
      </c>
      <c r="J24" s="55">
        <v>0.5</v>
      </c>
      <c r="K24" s="53"/>
      <c r="L24" s="56">
        <v>514.285714285714</v>
      </c>
      <c r="M24" s="66">
        <v>7</v>
      </c>
      <c r="N24" s="57">
        <v>0.166666666666667</v>
      </c>
    </row>
    <row r="25" ht="15.75" spans="1:14">
      <c r="A25" s="19" t="s">
        <v>45</v>
      </c>
      <c r="B25" s="21">
        <v>2400</v>
      </c>
      <c r="C25" s="21">
        <v>3841</v>
      </c>
      <c r="D25" s="34" t="s">
        <v>46</v>
      </c>
      <c r="E25" s="34" t="s">
        <v>47</v>
      </c>
      <c r="F25" s="22" t="s">
        <v>50</v>
      </c>
      <c r="G25" s="25" t="s">
        <v>51</v>
      </c>
      <c r="H25" s="24">
        <v>360</v>
      </c>
      <c r="I25" s="52">
        <v>10</v>
      </c>
      <c r="J25" s="55">
        <v>0.5</v>
      </c>
      <c r="K25" s="53"/>
      <c r="L25" s="56">
        <v>514.285714285714</v>
      </c>
      <c r="M25" s="66">
        <v>7</v>
      </c>
      <c r="N25" s="57">
        <v>0.166666666666667</v>
      </c>
    </row>
    <row r="26" ht="15.75" spans="1:14">
      <c r="A26" s="19" t="s">
        <v>45</v>
      </c>
      <c r="B26" s="21">
        <v>2400</v>
      </c>
      <c r="C26" s="21">
        <v>3841</v>
      </c>
      <c r="D26" s="34" t="s">
        <v>46</v>
      </c>
      <c r="E26" s="34" t="s">
        <v>47</v>
      </c>
      <c r="F26" s="22" t="s">
        <v>52</v>
      </c>
      <c r="G26" s="25" t="s">
        <v>53</v>
      </c>
      <c r="H26" s="24">
        <v>360</v>
      </c>
      <c r="I26" s="52">
        <v>10</v>
      </c>
      <c r="J26" s="55">
        <v>1</v>
      </c>
      <c r="K26" s="53"/>
      <c r="L26" s="56">
        <v>514.285714285714</v>
      </c>
      <c r="M26" s="66">
        <v>7</v>
      </c>
      <c r="N26" s="57">
        <v>0.166666666666667</v>
      </c>
    </row>
    <row r="27" ht="15.75" spans="1:14">
      <c r="A27" s="19" t="s">
        <v>45</v>
      </c>
      <c r="B27" s="21">
        <v>2400</v>
      </c>
      <c r="C27" s="21">
        <v>3841</v>
      </c>
      <c r="D27" s="34" t="s">
        <v>46</v>
      </c>
      <c r="E27" s="34" t="s">
        <v>47</v>
      </c>
      <c r="F27" s="22" t="s">
        <v>54</v>
      </c>
      <c r="G27" s="25" t="s">
        <v>55</v>
      </c>
      <c r="H27" s="24">
        <v>360</v>
      </c>
      <c r="I27" s="52">
        <v>10</v>
      </c>
      <c r="J27" s="55">
        <v>0.666666666666667</v>
      </c>
      <c r="K27" s="53"/>
      <c r="L27" s="56">
        <v>514.285714285714</v>
      </c>
      <c r="M27" s="66">
        <v>7</v>
      </c>
      <c r="N27" s="57">
        <v>0.166666666666667</v>
      </c>
    </row>
    <row r="28" ht="15.75" spans="1:14">
      <c r="A28" s="19" t="s">
        <v>45</v>
      </c>
      <c r="B28" s="21">
        <v>2400</v>
      </c>
      <c r="C28" s="21">
        <v>3841</v>
      </c>
      <c r="D28" s="34" t="s">
        <v>46</v>
      </c>
      <c r="E28" s="34" t="s">
        <v>47</v>
      </c>
      <c r="F28" s="22" t="s">
        <v>54</v>
      </c>
      <c r="G28" s="25" t="s">
        <v>55</v>
      </c>
      <c r="H28" s="24">
        <v>360</v>
      </c>
      <c r="I28" s="52">
        <v>10</v>
      </c>
      <c r="J28" s="55">
        <v>0.666666666666667</v>
      </c>
      <c r="K28" s="53"/>
      <c r="L28" s="56">
        <v>514.285714285714</v>
      </c>
      <c r="M28" s="66">
        <v>7</v>
      </c>
      <c r="N28" s="57">
        <v>0.166666666666667</v>
      </c>
    </row>
    <row r="29" ht="15.75" spans="1:14">
      <c r="A29" s="19" t="s">
        <v>45</v>
      </c>
      <c r="B29" s="21">
        <v>2400</v>
      </c>
      <c r="C29" s="21">
        <v>3841</v>
      </c>
      <c r="D29" s="34" t="s">
        <v>46</v>
      </c>
      <c r="E29" s="34" t="s">
        <v>47</v>
      </c>
      <c r="F29" s="22" t="s">
        <v>54</v>
      </c>
      <c r="G29" s="25" t="s">
        <v>55</v>
      </c>
      <c r="H29" s="24">
        <v>360</v>
      </c>
      <c r="I29" s="52">
        <v>10</v>
      </c>
      <c r="J29" s="55">
        <v>0.666666666666667</v>
      </c>
      <c r="K29" s="53"/>
      <c r="L29" s="56">
        <v>514.285714285714</v>
      </c>
      <c r="M29" s="66">
        <v>7</v>
      </c>
      <c r="N29" s="57">
        <v>0.166666666666667</v>
      </c>
    </row>
    <row r="30" ht="15.75" spans="1:14">
      <c r="A30" s="19"/>
      <c r="B30" s="20"/>
      <c r="C30" s="21"/>
      <c r="D30" s="20"/>
      <c r="E30" s="20"/>
      <c r="F30" s="22"/>
      <c r="G30" s="25"/>
      <c r="H30" s="24"/>
      <c r="I30" s="52"/>
      <c r="J30" s="51"/>
      <c r="K30" s="53"/>
      <c r="L30" s="65"/>
      <c r="M30" s="66"/>
      <c r="N30" s="55"/>
    </row>
    <row r="31" ht="15.75" spans="1:14">
      <c r="A31" s="19" t="s">
        <v>56</v>
      </c>
      <c r="B31" s="21">
        <v>2400</v>
      </c>
      <c r="C31" s="21">
        <v>3841</v>
      </c>
      <c r="D31" s="34" t="s">
        <v>57</v>
      </c>
      <c r="E31" s="34" t="s">
        <v>58</v>
      </c>
      <c r="F31" s="22" t="s">
        <v>59</v>
      </c>
      <c r="G31" s="25" t="s">
        <v>60</v>
      </c>
      <c r="H31" s="24">
        <v>116.129032258065</v>
      </c>
      <c r="I31" s="52">
        <v>31</v>
      </c>
      <c r="J31" s="55">
        <v>1</v>
      </c>
      <c r="K31" s="53"/>
      <c r="L31" s="56">
        <v>200</v>
      </c>
      <c r="M31" s="66">
        <v>18</v>
      </c>
      <c r="N31" s="57">
        <v>0.5</v>
      </c>
    </row>
    <row r="32" ht="15.75" spans="1:14">
      <c r="A32" s="19" t="s">
        <v>56</v>
      </c>
      <c r="B32" s="21">
        <v>2400</v>
      </c>
      <c r="C32" s="21">
        <v>3841</v>
      </c>
      <c r="D32" s="34" t="s">
        <v>57</v>
      </c>
      <c r="E32" s="34" t="s">
        <v>58</v>
      </c>
      <c r="F32" s="22" t="s">
        <v>43</v>
      </c>
      <c r="G32" s="25" t="s">
        <v>37</v>
      </c>
      <c r="H32" s="24">
        <v>116.129032258065</v>
      </c>
      <c r="I32" s="52">
        <v>31</v>
      </c>
      <c r="J32" s="55">
        <v>1</v>
      </c>
      <c r="K32" s="53"/>
      <c r="L32" s="56">
        <v>200</v>
      </c>
      <c r="M32" s="66">
        <v>18</v>
      </c>
      <c r="N32" s="57">
        <v>0.5</v>
      </c>
    </row>
    <row r="33" ht="15.75" spans="1:14">
      <c r="A33" s="19"/>
      <c r="B33" s="20"/>
      <c r="C33" s="21"/>
      <c r="D33" s="20"/>
      <c r="E33" s="20"/>
      <c r="F33" s="22"/>
      <c r="G33" s="23"/>
      <c r="H33" s="24"/>
      <c r="I33" s="52"/>
      <c r="J33" s="51"/>
      <c r="K33" s="53"/>
      <c r="L33" s="65"/>
      <c r="M33" s="66"/>
      <c r="N33" s="55"/>
    </row>
    <row r="34" ht="16.5" spans="1:14">
      <c r="A34" s="19"/>
      <c r="B34" s="20"/>
      <c r="C34" s="21"/>
      <c r="D34" s="20"/>
      <c r="E34" s="20"/>
      <c r="F34" s="22"/>
      <c r="G34" s="23"/>
      <c r="H34" s="24"/>
      <c r="I34" s="52"/>
      <c r="J34" s="58">
        <v>10</v>
      </c>
      <c r="K34" s="53"/>
      <c r="L34" s="24"/>
      <c r="M34" s="50"/>
      <c r="N34" s="58">
        <v>3</v>
      </c>
    </row>
    <row r="35" ht="16.5" spans="1:14">
      <c r="A35" s="27"/>
      <c r="B35" s="30"/>
      <c r="C35" s="28"/>
      <c r="D35" s="30"/>
      <c r="E35" s="30"/>
      <c r="F35" s="31"/>
      <c r="G35" s="32"/>
      <c r="H35" s="33"/>
      <c r="I35" s="59"/>
      <c r="J35" s="60"/>
      <c r="K35" s="61"/>
      <c r="L35" s="33"/>
      <c r="M35" s="67"/>
      <c r="N35" s="60"/>
    </row>
    <row r="36" ht="26.25" spans="1:14">
      <c r="A36" s="14" t="s">
        <v>61</v>
      </c>
      <c r="B36" s="15"/>
      <c r="C36" s="15"/>
      <c r="D36" s="15"/>
      <c r="E36" s="15"/>
      <c r="F36" s="16"/>
      <c r="G36" s="17"/>
      <c r="H36" s="18"/>
      <c r="I36" s="47"/>
      <c r="J36" s="48"/>
      <c r="K36" s="49"/>
      <c r="L36" s="62"/>
      <c r="M36" s="63"/>
      <c r="N36" s="64"/>
    </row>
    <row r="37" ht="15.75" spans="1:14">
      <c r="A37" s="19"/>
      <c r="B37" s="20"/>
      <c r="C37" s="21"/>
      <c r="D37" s="20"/>
      <c r="E37" s="20"/>
      <c r="F37" s="22"/>
      <c r="G37" s="23"/>
      <c r="H37" s="24"/>
      <c r="I37" s="52"/>
      <c r="J37" s="51"/>
      <c r="K37" s="53"/>
      <c r="L37" s="65"/>
      <c r="M37" s="66"/>
      <c r="N37" s="55"/>
    </row>
    <row r="38" ht="15.75" spans="1:14">
      <c r="A38" s="19" t="s">
        <v>62</v>
      </c>
      <c r="B38" s="21">
        <v>2630</v>
      </c>
      <c r="C38" s="21">
        <v>981</v>
      </c>
      <c r="D38" s="20" t="s">
        <v>63</v>
      </c>
      <c r="E38" s="20" t="s">
        <v>64</v>
      </c>
      <c r="F38" s="22" t="s">
        <v>65</v>
      </c>
      <c r="G38" s="25" t="s">
        <v>66</v>
      </c>
      <c r="H38" s="24">
        <v>130.316742081448</v>
      </c>
      <c r="I38" s="54">
        <v>27.625</v>
      </c>
      <c r="J38" s="55">
        <v>0.5</v>
      </c>
      <c r="K38" s="53"/>
      <c r="L38" s="68">
        <v>120</v>
      </c>
      <c r="M38" s="66">
        <v>30</v>
      </c>
      <c r="N38" s="57">
        <v>0.25</v>
      </c>
    </row>
    <row r="39" ht="15.75" spans="1:14">
      <c r="A39" s="19" t="s">
        <v>67</v>
      </c>
      <c r="B39" s="21">
        <v>2630</v>
      </c>
      <c r="C39" s="21">
        <v>981</v>
      </c>
      <c r="D39" s="20" t="s">
        <v>68</v>
      </c>
      <c r="E39" s="20" t="s">
        <v>69</v>
      </c>
      <c r="F39" s="22" t="s">
        <v>70</v>
      </c>
      <c r="G39" s="25" t="s">
        <v>71</v>
      </c>
      <c r="H39" s="24">
        <v>90</v>
      </c>
      <c r="I39" s="54">
        <v>40</v>
      </c>
      <c r="J39" s="55">
        <v>0.5</v>
      </c>
      <c r="K39" s="53"/>
      <c r="L39" s="56">
        <v>120</v>
      </c>
      <c r="M39" s="66">
        <v>30</v>
      </c>
      <c r="N39" s="57">
        <v>0.25</v>
      </c>
    </row>
    <row r="40" ht="15.75" spans="1:14">
      <c r="A40" s="19"/>
      <c r="B40" s="21"/>
      <c r="C40" s="21"/>
      <c r="D40" s="20"/>
      <c r="E40" s="20"/>
      <c r="F40" s="22"/>
      <c r="G40" s="25"/>
      <c r="H40" s="24"/>
      <c r="I40" s="54"/>
      <c r="J40" s="51"/>
      <c r="K40" s="53"/>
      <c r="L40" s="65"/>
      <c r="M40" s="66"/>
      <c r="N40" s="55"/>
    </row>
    <row r="41" ht="15.75" spans="1:14">
      <c r="A41" s="19" t="s">
        <v>72</v>
      </c>
      <c r="B41" s="21">
        <v>2630</v>
      </c>
      <c r="C41" s="21">
        <v>982</v>
      </c>
      <c r="D41" s="20" t="s">
        <v>73</v>
      </c>
      <c r="E41" s="20" t="s">
        <v>74</v>
      </c>
      <c r="F41" s="22" t="s">
        <v>75</v>
      </c>
      <c r="G41" s="25" t="s">
        <v>76</v>
      </c>
      <c r="H41" s="24">
        <v>120</v>
      </c>
      <c r="I41" s="54">
        <v>30</v>
      </c>
      <c r="J41" s="55">
        <v>0.5</v>
      </c>
      <c r="K41" s="53"/>
      <c r="L41" s="56">
        <v>120</v>
      </c>
      <c r="M41" s="66">
        <v>30</v>
      </c>
      <c r="N41" s="57">
        <v>0.25</v>
      </c>
    </row>
    <row r="42" ht="15.75" spans="1:14">
      <c r="A42" s="19" t="s">
        <v>77</v>
      </c>
      <c r="B42" s="21">
        <v>2630</v>
      </c>
      <c r="C42" s="21">
        <v>982</v>
      </c>
      <c r="D42" s="20" t="s">
        <v>78</v>
      </c>
      <c r="E42" s="20" t="s">
        <v>79</v>
      </c>
      <c r="F42" s="22" t="s">
        <v>80</v>
      </c>
      <c r="G42" s="25" t="s">
        <v>81</v>
      </c>
      <c r="H42" s="24">
        <v>80</v>
      </c>
      <c r="I42" s="54">
        <v>45</v>
      </c>
      <c r="J42" s="55">
        <v>0.5</v>
      </c>
      <c r="K42" s="53"/>
      <c r="L42" s="56">
        <v>120</v>
      </c>
      <c r="M42" s="66">
        <v>30</v>
      </c>
      <c r="N42" s="57">
        <v>0.25</v>
      </c>
    </row>
    <row r="43" ht="15.75" spans="1:14">
      <c r="A43" s="19"/>
      <c r="B43" s="21"/>
      <c r="C43" s="21"/>
      <c r="D43" s="20"/>
      <c r="E43" s="20"/>
      <c r="F43" s="22"/>
      <c r="G43" s="25"/>
      <c r="H43" s="24"/>
      <c r="I43" s="54"/>
      <c r="J43" s="51"/>
      <c r="K43" s="53"/>
      <c r="L43" s="65"/>
      <c r="M43" s="66"/>
      <c r="N43" s="55"/>
    </row>
    <row r="44" ht="15.75" spans="1:14">
      <c r="A44" s="19" t="s">
        <v>82</v>
      </c>
      <c r="B44" s="21">
        <v>2630</v>
      </c>
      <c r="C44" s="21">
        <v>1386</v>
      </c>
      <c r="D44" s="20" t="s">
        <v>83</v>
      </c>
      <c r="E44" s="20" t="s">
        <v>84</v>
      </c>
      <c r="F44" s="22" t="s">
        <v>85</v>
      </c>
      <c r="G44" s="25" t="s">
        <v>86</v>
      </c>
      <c r="H44" s="24">
        <v>120</v>
      </c>
      <c r="I44" s="54">
        <v>30</v>
      </c>
      <c r="J44" s="55">
        <v>0.5</v>
      </c>
      <c r="K44" s="53"/>
      <c r="L44" s="56">
        <v>60</v>
      </c>
      <c r="M44" s="66">
        <v>60</v>
      </c>
      <c r="N44" s="57">
        <v>0.25</v>
      </c>
    </row>
    <row r="45" ht="15.75" spans="1:14">
      <c r="A45" s="19" t="s">
        <v>87</v>
      </c>
      <c r="B45" s="21">
        <v>2630</v>
      </c>
      <c r="C45" s="21">
        <v>1386</v>
      </c>
      <c r="D45" s="20" t="s">
        <v>88</v>
      </c>
      <c r="E45" s="20" t="s">
        <v>89</v>
      </c>
      <c r="F45" s="22" t="s">
        <v>90</v>
      </c>
      <c r="G45" s="25" t="s">
        <v>91</v>
      </c>
      <c r="H45" s="24">
        <v>80</v>
      </c>
      <c r="I45" s="54">
        <v>45</v>
      </c>
      <c r="J45" s="55">
        <v>0.5</v>
      </c>
      <c r="K45" s="53"/>
      <c r="L45" s="56">
        <v>60</v>
      </c>
      <c r="M45" s="66">
        <v>60</v>
      </c>
      <c r="N45" s="57">
        <v>0.25</v>
      </c>
    </row>
    <row r="46" ht="15.75" spans="1:14">
      <c r="A46" s="19"/>
      <c r="B46" s="21"/>
      <c r="C46" s="21"/>
      <c r="D46" s="20"/>
      <c r="E46" s="20"/>
      <c r="F46" s="22"/>
      <c r="G46" s="25"/>
      <c r="H46" s="24"/>
      <c r="I46" s="54"/>
      <c r="J46" s="51"/>
      <c r="K46" s="53"/>
      <c r="L46" s="65"/>
      <c r="M46" s="66"/>
      <c r="N46" s="55"/>
    </row>
    <row r="47" ht="15.75" spans="1:14">
      <c r="A47" s="19" t="s">
        <v>92</v>
      </c>
      <c r="B47" s="21">
        <v>2630</v>
      </c>
      <c r="C47" s="21">
        <v>1790</v>
      </c>
      <c r="D47" s="20" t="s">
        <v>93</v>
      </c>
      <c r="E47" s="20" t="s">
        <v>94</v>
      </c>
      <c r="F47" s="22" t="s">
        <v>95</v>
      </c>
      <c r="G47" s="25" t="s">
        <v>96</v>
      </c>
      <c r="H47" s="24">
        <v>120</v>
      </c>
      <c r="I47" s="54">
        <v>30</v>
      </c>
      <c r="J47" s="55">
        <v>0.5</v>
      </c>
      <c r="K47" s="53"/>
      <c r="L47" s="56">
        <v>60</v>
      </c>
      <c r="M47" s="66">
        <v>60</v>
      </c>
      <c r="N47" s="57">
        <v>0.25</v>
      </c>
    </row>
    <row r="48" ht="15.75" spans="1:14">
      <c r="A48" s="19" t="s">
        <v>97</v>
      </c>
      <c r="B48" s="21">
        <v>2630</v>
      </c>
      <c r="C48" s="21">
        <v>1790</v>
      </c>
      <c r="D48" s="20" t="s">
        <v>98</v>
      </c>
      <c r="E48" s="20" t="s">
        <v>99</v>
      </c>
      <c r="F48" s="22" t="s">
        <v>100</v>
      </c>
      <c r="G48" s="25" t="s">
        <v>101</v>
      </c>
      <c r="H48" s="24">
        <v>80</v>
      </c>
      <c r="I48" s="54">
        <v>45</v>
      </c>
      <c r="J48" s="55">
        <v>0.5</v>
      </c>
      <c r="K48" s="53"/>
      <c r="L48" s="56">
        <v>60</v>
      </c>
      <c r="M48" s="66">
        <v>60</v>
      </c>
      <c r="N48" s="57">
        <v>0.25</v>
      </c>
    </row>
    <row r="49" ht="15.75" spans="1:14">
      <c r="A49" s="19"/>
      <c r="B49" s="20"/>
      <c r="C49" s="21"/>
      <c r="D49" s="20"/>
      <c r="E49" s="20"/>
      <c r="F49" s="22"/>
      <c r="G49" s="23"/>
      <c r="H49" s="24"/>
      <c r="I49" s="52"/>
      <c r="J49" s="51"/>
      <c r="K49" s="53"/>
      <c r="L49" s="65"/>
      <c r="M49" s="66"/>
      <c r="N49" s="55"/>
    </row>
    <row r="50" ht="16.5" spans="1:14">
      <c r="A50" s="19"/>
      <c r="B50" s="20"/>
      <c r="C50" s="21"/>
      <c r="D50" s="20"/>
      <c r="E50" s="20"/>
      <c r="F50" s="22"/>
      <c r="G50" s="23"/>
      <c r="H50" s="24"/>
      <c r="I50" s="52"/>
      <c r="J50" s="58">
        <v>4</v>
      </c>
      <c r="K50" s="53"/>
      <c r="L50" s="24"/>
      <c r="M50" s="50"/>
      <c r="N50" s="58">
        <v>2</v>
      </c>
    </row>
    <row r="51" ht="16.5" spans="1:14">
      <c r="A51" s="27"/>
      <c r="B51" s="30"/>
      <c r="C51" s="28"/>
      <c r="D51" s="30"/>
      <c r="E51" s="30"/>
      <c r="F51" s="31"/>
      <c r="G51" s="32"/>
      <c r="H51" s="33"/>
      <c r="I51" s="59"/>
      <c r="J51" s="60"/>
      <c r="K51" s="61"/>
      <c r="L51" s="33"/>
      <c r="M51" s="67"/>
      <c r="N51" s="60"/>
    </row>
    <row r="52" ht="26.25" spans="1:14">
      <c r="A52" s="14" t="s">
        <v>102</v>
      </c>
      <c r="B52" s="15"/>
      <c r="C52" s="15"/>
      <c r="D52" s="15"/>
      <c r="E52" s="15"/>
      <c r="F52" s="16"/>
      <c r="G52" s="17"/>
      <c r="H52" s="18"/>
      <c r="I52" s="47"/>
      <c r="J52" s="48"/>
      <c r="K52" s="49"/>
      <c r="L52" s="62"/>
      <c r="M52" s="63"/>
      <c r="N52" s="64"/>
    </row>
    <row r="53" ht="15.75" spans="1:14">
      <c r="A53" s="19"/>
      <c r="B53" s="20"/>
      <c r="C53" s="21"/>
      <c r="D53" s="20"/>
      <c r="E53" s="20"/>
      <c r="F53" s="22"/>
      <c r="G53" s="23"/>
      <c r="H53" s="24"/>
      <c r="I53" s="52"/>
      <c r="J53" s="51"/>
      <c r="K53" s="53"/>
      <c r="L53" s="65"/>
      <c r="M53" s="66"/>
      <c r="N53" s="55"/>
    </row>
    <row r="54" ht="15.75" spans="1:14">
      <c r="A54" s="19" t="s">
        <v>103</v>
      </c>
      <c r="B54" s="21">
        <v>2650</v>
      </c>
      <c r="C54" s="21">
        <v>1564</v>
      </c>
      <c r="D54" s="20" t="s">
        <v>104</v>
      </c>
      <c r="E54" s="20" t="s">
        <v>105</v>
      </c>
      <c r="F54" s="22" t="s">
        <v>106</v>
      </c>
      <c r="G54" s="25" t="s">
        <v>107</v>
      </c>
      <c r="H54" s="24">
        <v>85.7142857142857</v>
      </c>
      <c r="I54" s="54">
        <v>42</v>
      </c>
      <c r="J54" s="55">
        <v>1</v>
      </c>
      <c r="K54" s="53"/>
      <c r="L54" s="56">
        <f>3600/M54</f>
        <v>92.3076923076923</v>
      </c>
      <c r="M54" s="66">
        <v>39</v>
      </c>
      <c r="N54" s="57">
        <v>0.25</v>
      </c>
    </row>
    <row r="55" ht="15.75" spans="1:14">
      <c r="A55" s="19" t="s">
        <v>108</v>
      </c>
      <c r="B55" s="21">
        <v>2650</v>
      </c>
      <c r="C55" s="21">
        <v>1564</v>
      </c>
      <c r="D55" s="20" t="s">
        <v>109</v>
      </c>
      <c r="E55" s="20" t="s">
        <v>110</v>
      </c>
      <c r="F55" s="22" t="s">
        <v>111</v>
      </c>
      <c r="G55" s="25" t="s">
        <v>112</v>
      </c>
      <c r="H55" s="24">
        <v>85.7142857142857</v>
      </c>
      <c r="I55" s="54">
        <v>42</v>
      </c>
      <c r="J55" s="55">
        <v>1</v>
      </c>
      <c r="K55" s="53"/>
      <c r="L55" s="56">
        <f>3600/M55</f>
        <v>92.3076923076923</v>
      </c>
      <c r="M55" s="66">
        <v>39</v>
      </c>
      <c r="N55" s="57">
        <v>0.25</v>
      </c>
    </row>
    <row r="56" ht="15.75" spans="1:14">
      <c r="A56" s="19"/>
      <c r="B56" s="21"/>
      <c r="C56" s="21"/>
      <c r="D56" s="20"/>
      <c r="E56" s="20"/>
      <c r="F56" s="22"/>
      <c r="G56" s="25"/>
      <c r="H56" s="24"/>
      <c r="I56" s="54"/>
      <c r="J56" s="55"/>
      <c r="K56" s="53"/>
      <c r="L56" s="65"/>
      <c r="M56" s="66"/>
      <c r="N56" s="55"/>
    </row>
    <row r="57" ht="15.75" spans="1:14">
      <c r="A57" s="19" t="s">
        <v>103</v>
      </c>
      <c r="B57" s="21">
        <v>2650</v>
      </c>
      <c r="C57" s="21">
        <v>1564</v>
      </c>
      <c r="D57" s="20" t="s">
        <v>113</v>
      </c>
      <c r="E57" s="20" t="s">
        <v>114</v>
      </c>
      <c r="F57" s="22" t="s">
        <v>106</v>
      </c>
      <c r="G57" s="25" t="s">
        <v>107</v>
      </c>
      <c r="H57" s="24">
        <v>200</v>
      </c>
      <c r="I57" s="54">
        <v>18</v>
      </c>
      <c r="J57" s="55">
        <v>1</v>
      </c>
      <c r="K57" s="53"/>
      <c r="L57" s="68">
        <f t="shared" ref="L57:L58" si="0">3600/M57</f>
        <v>144</v>
      </c>
      <c r="M57" s="66">
        <v>25</v>
      </c>
      <c r="N57" s="57">
        <v>0.166666666666667</v>
      </c>
    </row>
    <row r="58" ht="15.75" spans="1:14">
      <c r="A58" s="19" t="s">
        <v>108</v>
      </c>
      <c r="B58" s="21">
        <v>2650</v>
      </c>
      <c r="C58" s="21">
        <v>1564</v>
      </c>
      <c r="D58" s="20" t="s">
        <v>115</v>
      </c>
      <c r="E58" s="20" t="s">
        <v>116</v>
      </c>
      <c r="F58" s="22" t="s">
        <v>117</v>
      </c>
      <c r="G58" s="25" t="s">
        <v>118</v>
      </c>
      <c r="H58" s="24">
        <v>200</v>
      </c>
      <c r="I58" s="54">
        <v>18</v>
      </c>
      <c r="J58" s="55">
        <v>1</v>
      </c>
      <c r="K58" s="53"/>
      <c r="L58" s="68">
        <f t="shared" si="0"/>
        <v>144</v>
      </c>
      <c r="M58" s="66">
        <v>25</v>
      </c>
      <c r="N58" s="57">
        <v>0.166666666666667</v>
      </c>
    </row>
    <row r="59" ht="15.75" spans="1:14">
      <c r="A59" s="19"/>
      <c r="B59" s="20"/>
      <c r="C59" s="21"/>
      <c r="D59" s="20"/>
      <c r="E59" s="20"/>
      <c r="F59" s="22"/>
      <c r="G59" s="23"/>
      <c r="H59" s="24"/>
      <c r="I59" s="52"/>
      <c r="J59" s="51"/>
      <c r="K59" s="53"/>
      <c r="L59" s="65"/>
      <c r="M59" s="66"/>
      <c r="N59" s="55"/>
    </row>
    <row r="60" ht="15.75" spans="1:14">
      <c r="A60" s="19" t="s">
        <v>103</v>
      </c>
      <c r="B60" s="21">
        <v>2650</v>
      </c>
      <c r="C60" s="21">
        <v>1563</v>
      </c>
      <c r="D60" s="20" t="s">
        <v>119</v>
      </c>
      <c r="E60" s="20" t="s">
        <v>120</v>
      </c>
      <c r="F60" s="22" t="s">
        <v>117</v>
      </c>
      <c r="G60" s="25" t="s">
        <v>118</v>
      </c>
      <c r="H60" s="24">
        <v>66.6666666666667</v>
      </c>
      <c r="I60" s="54">
        <v>54</v>
      </c>
      <c r="J60" s="55">
        <v>1</v>
      </c>
      <c r="K60" s="53"/>
      <c r="L60" s="56">
        <v>124.137931034483</v>
      </c>
      <c r="M60" s="66">
        <v>29</v>
      </c>
      <c r="N60" s="57">
        <v>0.166666666666667</v>
      </c>
    </row>
    <row r="61" ht="15.75" spans="1:14">
      <c r="A61" s="19" t="s">
        <v>108</v>
      </c>
      <c r="B61" s="21">
        <v>2650</v>
      </c>
      <c r="C61" s="21">
        <v>1563</v>
      </c>
      <c r="D61" s="20" t="s">
        <v>121</v>
      </c>
      <c r="E61" s="20" t="s">
        <v>122</v>
      </c>
      <c r="F61" s="22" t="s">
        <v>106</v>
      </c>
      <c r="G61" s="25" t="s">
        <v>107</v>
      </c>
      <c r="H61" s="24">
        <v>133.333333333333</v>
      </c>
      <c r="I61" s="54">
        <v>27</v>
      </c>
      <c r="J61" s="55">
        <v>1</v>
      </c>
      <c r="K61" s="53"/>
      <c r="L61" s="68">
        <v>124.137931034483</v>
      </c>
      <c r="M61" s="66">
        <v>29</v>
      </c>
      <c r="N61" s="57">
        <v>0.166666666666667</v>
      </c>
    </row>
    <row r="62" ht="15.75" spans="1:14">
      <c r="A62" s="19"/>
      <c r="B62" s="20"/>
      <c r="C62" s="21"/>
      <c r="D62" s="20"/>
      <c r="E62" s="20"/>
      <c r="F62" s="22"/>
      <c r="G62" s="23"/>
      <c r="H62" s="24"/>
      <c r="I62" s="52"/>
      <c r="J62" s="51"/>
      <c r="K62" s="53"/>
      <c r="L62" s="65"/>
      <c r="M62" s="66"/>
      <c r="N62" s="55"/>
    </row>
    <row r="63" ht="15.75" spans="1:14">
      <c r="A63" s="19" t="s">
        <v>103</v>
      </c>
      <c r="B63" s="21">
        <v>2650</v>
      </c>
      <c r="C63" s="21">
        <v>1561</v>
      </c>
      <c r="D63" s="20" t="s">
        <v>123</v>
      </c>
      <c r="E63" s="20" t="s">
        <v>124</v>
      </c>
      <c r="F63" s="22" t="s">
        <v>125</v>
      </c>
      <c r="G63" s="25" t="s">
        <v>126</v>
      </c>
      <c r="H63" s="24">
        <v>80</v>
      </c>
      <c r="I63" s="54">
        <v>45</v>
      </c>
      <c r="J63" s="55">
        <v>1</v>
      </c>
      <c r="K63" s="53"/>
      <c r="L63" s="56">
        <v>85.7142857142857</v>
      </c>
      <c r="M63" s="66">
        <v>42</v>
      </c>
      <c r="N63" s="57">
        <v>0.25</v>
      </c>
    </row>
    <row r="64" ht="15.75" spans="1:14">
      <c r="A64" s="19" t="s">
        <v>108</v>
      </c>
      <c r="B64" s="21">
        <v>2650</v>
      </c>
      <c r="C64" s="21">
        <v>1561</v>
      </c>
      <c r="D64" s="20" t="s">
        <v>127</v>
      </c>
      <c r="E64" s="20" t="s">
        <v>128</v>
      </c>
      <c r="F64" s="22" t="s">
        <v>117</v>
      </c>
      <c r="G64" s="25" t="s">
        <v>118</v>
      </c>
      <c r="H64" s="24">
        <v>80</v>
      </c>
      <c r="I64" s="54">
        <v>45</v>
      </c>
      <c r="J64" s="55">
        <v>1</v>
      </c>
      <c r="K64" s="53"/>
      <c r="L64" s="56">
        <v>85.7142857142857</v>
      </c>
      <c r="M64" s="66">
        <v>42</v>
      </c>
      <c r="N64" s="57">
        <v>0.25</v>
      </c>
    </row>
    <row r="65" ht="15.75" spans="1:14">
      <c r="A65" s="19"/>
      <c r="B65" s="21"/>
      <c r="C65" s="21"/>
      <c r="D65" s="20"/>
      <c r="E65" s="20"/>
      <c r="F65" s="22"/>
      <c r="G65" s="25"/>
      <c r="H65" s="24"/>
      <c r="I65" s="54"/>
      <c r="J65" s="55"/>
      <c r="K65" s="53"/>
      <c r="L65" s="65"/>
      <c r="M65" s="66"/>
      <c r="N65" s="55"/>
    </row>
    <row r="66" ht="15.75" spans="1:14">
      <c r="A66" s="19" t="s">
        <v>103</v>
      </c>
      <c r="B66" s="21">
        <v>2650</v>
      </c>
      <c r="C66" s="21">
        <v>1561</v>
      </c>
      <c r="D66" s="20" t="s">
        <v>129</v>
      </c>
      <c r="E66" s="20" t="s">
        <v>130</v>
      </c>
      <c r="F66" s="22" t="s">
        <v>131</v>
      </c>
      <c r="G66" s="25" t="s">
        <v>132</v>
      </c>
      <c r="H66" s="24">
        <v>80</v>
      </c>
      <c r="I66" s="54">
        <v>45</v>
      </c>
      <c r="J66" s="55">
        <v>1</v>
      </c>
      <c r="K66" s="53"/>
      <c r="L66" s="56"/>
      <c r="M66" s="66">
        <v>39</v>
      </c>
      <c r="N66" s="57">
        <v>0.166666666666667</v>
      </c>
    </row>
    <row r="67" ht="15.75" spans="1:14">
      <c r="A67" s="19" t="s">
        <v>108</v>
      </c>
      <c r="B67" s="21">
        <v>2650</v>
      </c>
      <c r="C67" s="21">
        <v>1561</v>
      </c>
      <c r="D67" s="20" t="s">
        <v>133</v>
      </c>
      <c r="E67" s="20" t="s">
        <v>134</v>
      </c>
      <c r="F67" s="22" t="s">
        <v>135</v>
      </c>
      <c r="G67" s="25" t="s">
        <v>136</v>
      </c>
      <c r="H67" s="24">
        <v>80</v>
      </c>
      <c r="I67" s="54">
        <v>45</v>
      </c>
      <c r="J67" s="55">
        <v>1</v>
      </c>
      <c r="K67" s="53"/>
      <c r="L67" s="56"/>
      <c r="M67" s="66">
        <v>39</v>
      </c>
      <c r="N67" s="57">
        <v>0.166666666666667</v>
      </c>
    </row>
    <row r="68" ht="15.75" spans="1:14">
      <c r="A68" s="19"/>
      <c r="B68" s="20"/>
      <c r="C68" s="21"/>
      <c r="D68" s="20"/>
      <c r="E68" s="20"/>
      <c r="F68" s="22"/>
      <c r="G68" s="23"/>
      <c r="H68" s="24"/>
      <c r="I68" s="52"/>
      <c r="J68" s="51"/>
      <c r="K68" s="53"/>
      <c r="L68" s="65"/>
      <c r="M68" s="66"/>
      <c r="N68" s="55"/>
    </row>
    <row r="69" ht="15.75" spans="1:14">
      <c r="A69" s="19"/>
      <c r="B69" s="20"/>
      <c r="C69" s="21"/>
      <c r="D69" s="20"/>
      <c r="E69" s="20"/>
      <c r="F69" s="22"/>
      <c r="G69" s="23"/>
      <c r="H69" s="24"/>
      <c r="I69" s="52"/>
      <c r="J69" s="51"/>
      <c r="K69" s="53"/>
      <c r="L69" s="65"/>
      <c r="M69" s="66"/>
      <c r="N69" s="55"/>
    </row>
    <row r="70" ht="15.75" spans="1:14">
      <c r="A70" s="19"/>
      <c r="B70" s="20"/>
      <c r="C70" s="21"/>
      <c r="D70" s="20"/>
      <c r="E70" s="20"/>
      <c r="F70" s="22"/>
      <c r="G70" s="23"/>
      <c r="H70" s="24"/>
      <c r="I70" s="52"/>
      <c r="J70" s="51"/>
      <c r="K70" s="53"/>
      <c r="L70" s="65"/>
      <c r="M70" s="66"/>
      <c r="N70" s="55"/>
    </row>
    <row r="71" ht="16.5" spans="1:14">
      <c r="A71" s="19"/>
      <c r="B71" s="20"/>
      <c r="C71" s="21"/>
      <c r="D71" s="20"/>
      <c r="E71" s="20"/>
      <c r="F71" s="22"/>
      <c r="G71" s="23"/>
      <c r="H71" s="24"/>
      <c r="I71" s="52"/>
      <c r="J71" s="58">
        <v>8</v>
      </c>
      <c r="K71" s="53"/>
      <c r="L71" s="24"/>
      <c r="M71" s="50"/>
      <c r="N71" s="58">
        <v>1.5</v>
      </c>
    </row>
    <row r="72" ht="16.5" spans="1:14">
      <c r="A72" s="27"/>
      <c r="B72" s="30"/>
      <c r="C72" s="28"/>
      <c r="D72" s="30"/>
      <c r="E72" s="30"/>
      <c r="F72" s="31"/>
      <c r="G72" s="32"/>
      <c r="H72" s="33"/>
      <c r="I72" s="59"/>
      <c r="J72" s="60"/>
      <c r="K72" s="61"/>
      <c r="L72" s="33"/>
      <c r="M72" s="67"/>
      <c r="N72" s="60"/>
    </row>
    <row r="73" ht="26.25" spans="1:14">
      <c r="A73" s="69" t="s">
        <v>137</v>
      </c>
      <c r="B73" s="70"/>
      <c r="C73" s="70"/>
      <c r="D73" s="70"/>
      <c r="E73" s="70"/>
      <c r="F73" s="22"/>
      <c r="G73" s="23"/>
      <c r="H73" s="24"/>
      <c r="I73" s="52"/>
      <c r="J73" s="51"/>
      <c r="K73" s="53"/>
      <c r="L73" s="62"/>
      <c r="M73" s="63"/>
      <c r="N73" s="64"/>
    </row>
    <row r="74" ht="15.75" spans="1:14">
      <c r="A74" s="19"/>
      <c r="B74" s="20"/>
      <c r="C74" s="21"/>
      <c r="D74" s="20"/>
      <c r="E74" s="20"/>
      <c r="F74" s="22"/>
      <c r="G74" s="23"/>
      <c r="H74" s="24"/>
      <c r="I74" s="52"/>
      <c r="J74" s="51"/>
      <c r="K74" s="53"/>
      <c r="L74" s="65"/>
      <c r="M74" s="66"/>
      <c r="N74" s="55"/>
    </row>
    <row r="75" ht="15.75" spans="1:14">
      <c r="A75" s="19"/>
      <c r="B75" s="20"/>
      <c r="C75" s="21"/>
      <c r="D75" s="20"/>
      <c r="E75" s="20"/>
      <c r="F75" s="22"/>
      <c r="G75" s="23"/>
      <c r="H75" s="24"/>
      <c r="I75" s="52"/>
      <c r="J75" s="51"/>
      <c r="K75" s="53"/>
      <c r="L75" s="65"/>
      <c r="M75" s="66"/>
      <c r="N75" s="55"/>
    </row>
    <row r="76" ht="15.75" spans="1:14">
      <c r="A76" s="22" t="s">
        <v>138</v>
      </c>
      <c r="B76" s="21">
        <v>2650</v>
      </c>
      <c r="C76" s="21">
        <v>1217</v>
      </c>
      <c r="D76" s="20" t="s">
        <v>139</v>
      </c>
      <c r="E76" s="20" t="s">
        <v>140</v>
      </c>
      <c r="F76" s="22" t="s">
        <v>141</v>
      </c>
      <c r="G76" s="25" t="s">
        <v>142</v>
      </c>
      <c r="H76" s="24">
        <v>159.116022099448</v>
      </c>
      <c r="I76" s="54">
        <v>22.625</v>
      </c>
      <c r="J76" s="55">
        <v>1</v>
      </c>
      <c r="K76" s="53"/>
      <c r="L76" s="68">
        <v>144</v>
      </c>
      <c r="M76" s="66">
        <v>25</v>
      </c>
      <c r="N76" s="57">
        <v>0.25</v>
      </c>
    </row>
    <row r="77" ht="15.75" spans="1:14">
      <c r="A77" s="22" t="s">
        <v>143</v>
      </c>
      <c r="B77" s="21">
        <v>2650</v>
      </c>
      <c r="C77" s="21">
        <v>1217</v>
      </c>
      <c r="D77" s="20" t="s">
        <v>144</v>
      </c>
      <c r="E77" s="20" t="s">
        <v>145</v>
      </c>
      <c r="F77" s="22" t="s">
        <v>146</v>
      </c>
      <c r="G77" s="25" t="s">
        <v>147</v>
      </c>
      <c r="H77" s="24">
        <v>159.116022099448</v>
      </c>
      <c r="I77" s="54">
        <v>22.625</v>
      </c>
      <c r="J77" s="55">
        <v>1</v>
      </c>
      <c r="K77" s="53"/>
      <c r="L77" s="68">
        <v>144</v>
      </c>
      <c r="M77" s="66">
        <v>25</v>
      </c>
      <c r="N77" s="57">
        <v>0.25</v>
      </c>
    </row>
    <row r="78" ht="15.75" spans="1:14">
      <c r="A78" s="22"/>
      <c r="B78" s="21"/>
      <c r="C78" s="21"/>
      <c r="D78" s="20"/>
      <c r="E78" s="20"/>
      <c r="F78" s="22"/>
      <c r="G78" s="23"/>
      <c r="H78" s="24"/>
      <c r="I78" s="52"/>
      <c r="J78" s="51"/>
      <c r="K78" s="53"/>
      <c r="L78" s="65"/>
      <c r="M78" s="66"/>
      <c r="N78" s="55"/>
    </row>
    <row r="79" ht="15.75" spans="1:14">
      <c r="A79" s="22" t="s">
        <v>148</v>
      </c>
      <c r="B79" s="21">
        <v>2650</v>
      </c>
      <c r="C79" s="21">
        <v>1218</v>
      </c>
      <c r="D79" s="20" t="s">
        <v>149</v>
      </c>
      <c r="E79" s="20" t="s">
        <v>150</v>
      </c>
      <c r="F79" s="22" t="s">
        <v>151</v>
      </c>
      <c r="G79" s="25" t="s">
        <v>152</v>
      </c>
      <c r="H79" s="24">
        <v>180</v>
      </c>
      <c r="I79" s="54">
        <v>20</v>
      </c>
      <c r="J79" s="55">
        <v>1</v>
      </c>
      <c r="K79" s="53"/>
      <c r="L79" s="68">
        <v>171.428571428571</v>
      </c>
      <c r="M79" s="66">
        <v>21</v>
      </c>
      <c r="N79" s="57">
        <v>0.25</v>
      </c>
    </row>
    <row r="80" ht="15.75" spans="1:14">
      <c r="A80" s="22" t="s">
        <v>153</v>
      </c>
      <c r="B80" s="21">
        <v>2650</v>
      </c>
      <c r="C80" s="21">
        <v>1218</v>
      </c>
      <c r="D80" s="20" t="s">
        <v>154</v>
      </c>
      <c r="E80" s="20" t="s">
        <v>155</v>
      </c>
      <c r="F80" s="22" t="s">
        <v>156</v>
      </c>
      <c r="G80" s="25" t="s">
        <v>157</v>
      </c>
      <c r="H80" s="24">
        <v>180</v>
      </c>
      <c r="I80" s="54">
        <v>20</v>
      </c>
      <c r="J80" s="55">
        <v>1</v>
      </c>
      <c r="K80" s="53"/>
      <c r="L80" s="68">
        <v>171.428571428571</v>
      </c>
      <c r="M80" s="66">
        <v>21</v>
      </c>
      <c r="N80" s="57">
        <v>0.25</v>
      </c>
    </row>
    <row r="81" ht="15.75" spans="1:14">
      <c r="A81" s="22"/>
      <c r="B81" s="21"/>
      <c r="C81" s="21"/>
      <c r="D81" s="20"/>
      <c r="E81" s="20"/>
      <c r="F81" s="22"/>
      <c r="G81" s="23"/>
      <c r="H81" s="24"/>
      <c r="I81" s="52"/>
      <c r="J81" s="51"/>
      <c r="K81" s="53"/>
      <c r="L81" s="65"/>
      <c r="M81" s="66"/>
      <c r="N81" s="55"/>
    </row>
    <row r="82" ht="15.75" spans="1:14">
      <c r="A82" s="22" t="s">
        <v>158</v>
      </c>
      <c r="B82" s="21">
        <v>2650</v>
      </c>
      <c r="C82" s="21">
        <v>1361</v>
      </c>
      <c r="D82" s="20" t="s">
        <v>159</v>
      </c>
      <c r="E82" s="20" t="s">
        <v>160</v>
      </c>
      <c r="F82" s="22" t="s">
        <v>161</v>
      </c>
      <c r="G82" s="25" t="s">
        <v>162</v>
      </c>
      <c r="H82" s="24">
        <v>120</v>
      </c>
      <c r="I82" s="54">
        <v>30</v>
      </c>
      <c r="J82" s="55">
        <v>1</v>
      </c>
      <c r="K82" s="53"/>
      <c r="L82" s="68">
        <v>116.129032258065</v>
      </c>
      <c r="M82" s="66">
        <v>31</v>
      </c>
      <c r="N82" s="57">
        <v>0.25</v>
      </c>
    </row>
    <row r="83" ht="15.75" spans="1:14">
      <c r="A83" s="22" t="s">
        <v>163</v>
      </c>
      <c r="B83" s="21">
        <v>2650</v>
      </c>
      <c r="C83" s="21">
        <v>1361</v>
      </c>
      <c r="D83" s="20" t="s">
        <v>164</v>
      </c>
      <c r="E83" s="20" t="s">
        <v>165</v>
      </c>
      <c r="F83" s="22" t="s">
        <v>166</v>
      </c>
      <c r="G83" s="25" t="s">
        <v>167</v>
      </c>
      <c r="H83" s="24">
        <v>80</v>
      </c>
      <c r="I83" s="54">
        <v>45</v>
      </c>
      <c r="J83" s="55">
        <v>1</v>
      </c>
      <c r="K83" s="53"/>
      <c r="L83" s="68">
        <v>116.129032258065</v>
      </c>
      <c r="M83" s="66">
        <v>31</v>
      </c>
      <c r="N83" s="57">
        <v>0.25</v>
      </c>
    </row>
    <row r="84" ht="15.75" spans="1:14">
      <c r="A84" s="22"/>
      <c r="B84" s="21"/>
      <c r="C84" s="21"/>
      <c r="D84" s="20"/>
      <c r="E84" s="20"/>
      <c r="F84" s="22"/>
      <c r="G84" s="25"/>
      <c r="H84" s="24"/>
      <c r="I84" s="54"/>
      <c r="J84" s="55"/>
      <c r="K84" s="53"/>
      <c r="L84" s="65"/>
      <c r="M84" s="66"/>
      <c r="N84" s="55"/>
    </row>
    <row r="85" ht="15.75" spans="1:14">
      <c r="A85" s="22" t="s">
        <v>168</v>
      </c>
      <c r="B85" s="21">
        <v>2650</v>
      </c>
      <c r="C85" s="21">
        <v>1142</v>
      </c>
      <c r="D85" s="20" t="s">
        <v>169</v>
      </c>
      <c r="E85" s="20" t="s">
        <v>170</v>
      </c>
      <c r="F85" s="22" t="s">
        <v>171</v>
      </c>
      <c r="G85" s="25" t="s">
        <v>172</v>
      </c>
      <c r="H85" s="24">
        <v>180</v>
      </c>
      <c r="I85" s="54">
        <v>20</v>
      </c>
      <c r="J85" s="55">
        <v>1</v>
      </c>
      <c r="K85" s="53"/>
      <c r="L85" s="56">
        <v>189.473684210526</v>
      </c>
      <c r="M85" s="66">
        <v>19</v>
      </c>
      <c r="N85" s="57">
        <v>0.25</v>
      </c>
    </row>
    <row r="86" ht="15.75" spans="1:14">
      <c r="A86" s="22" t="s">
        <v>173</v>
      </c>
      <c r="B86" s="21">
        <v>2650</v>
      </c>
      <c r="C86" s="21">
        <v>1142</v>
      </c>
      <c r="D86" s="20" t="s">
        <v>174</v>
      </c>
      <c r="E86" s="20" t="s">
        <v>175</v>
      </c>
      <c r="F86" s="22" t="s">
        <v>176</v>
      </c>
      <c r="G86" s="25" t="s">
        <v>177</v>
      </c>
      <c r="H86" s="24">
        <v>180</v>
      </c>
      <c r="I86" s="54">
        <v>20</v>
      </c>
      <c r="J86" s="55">
        <v>1</v>
      </c>
      <c r="K86" s="53"/>
      <c r="L86" s="56">
        <v>189.473684210526</v>
      </c>
      <c r="M86" s="66">
        <v>19</v>
      </c>
      <c r="N86" s="57">
        <v>0.25</v>
      </c>
    </row>
    <row r="87" ht="15.75" spans="1:14">
      <c r="A87" s="22"/>
      <c r="B87" s="21"/>
      <c r="C87" s="21"/>
      <c r="D87" s="20"/>
      <c r="E87" s="20"/>
      <c r="F87" s="22"/>
      <c r="G87" s="23"/>
      <c r="H87" s="24"/>
      <c r="I87" s="52"/>
      <c r="J87" s="51"/>
      <c r="K87" s="53"/>
      <c r="L87" s="65"/>
      <c r="M87" s="66"/>
      <c r="N87" s="55"/>
    </row>
    <row r="88" ht="15.75" spans="1:14">
      <c r="A88" s="22"/>
      <c r="B88" s="21"/>
      <c r="C88" s="21"/>
      <c r="D88" s="20"/>
      <c r="E88" s="20"/>
      <c r="F88" s="22"/>
      <c r="G88" s="23"/>
      <c r="H88" s="24"/>
      <c r="I88" s="52"/>
      <c r="J88" s="51"/>
      <c r="K88" s="53"/>
      <c r="L88" s="65"/>
      <c r="M88" s="66"/>
      <c r="N88" s="55"/>
    </row>
    <row r="89" ht="16.5" spans="1:14">
      <c r="A89" s="22"/>
      <c r="B89" s="21"/>
      <c r="C89" s="21"/>
      <c r="D89" s="20"/>
      <c r="E89" s="20"/>
      <c r="F89" s="22"/>
      <c r="G89" s="23"/>
      <c r="H89" s="24"/>
      <c r="I89" s="52"/>
      <c r="J89" s="58">
        <v>8</v>
      </c>
      <c r="K89" s="53"/>
      <c r="L89" s="24"/>
      <c r="M89" s="50"/>
      <c r="N89" s="58">
        <v>2</v>
      </c>
    </row>
    <row r="90" ht="16.5" spans="1:14">
      <c r="A90" s="31"/>
      <c r="B90" s="28"/>
      <c r="C90" s="28"/>
      <c r="D90" s="30"/>
      <c r="E90" s="30"/>
      <c r="F90" s="31"/>
      <c r="G90" s="32"/>
      <c r="H90" s="33"/>
      <c r="I90" s="59"/>
      <c r="J90" s="60"/>
      <c r="K90" s="61"/>
      <c r="L90" s="71"/>
      <c r="M90" s="72"/>
      <c r="N90" s="73"/>
    </row>
    <row r="91" spans="1:2">
      <c r="A91" s="1"/>
      <c r="B91" s="1"/>
    </row>
  </sheetData>
  <mergeCells count="7">
    <mergeCell ref="H3:J3"/>
    <mergeCell ref="L3:N3"/>
    <mergeCell ref="A5:E5"/>
    <mergeCell ref="A16:E16"/>
    <mergeCell ref="A36:E36"/>
    <mergeCell ref="A52:E52"/>
    <mergeCell ref="A73:E73"/>
  </mergeCells>
  <conditionalFormatting sqref="A38:A48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 - ICD Costing</dc:creator>
  <cp:lastModifiedBy>anandakumar</cp:lastModifiedBy>
  <dcterms:created xsi:type="dcterms:W3CDTF">2026-07-11T08:43:00Z</dcterms:created>
  <dcterms:modified xsi:type="dcterms:W3CDTF">2026-07-20T05:28:53Z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2057-11.2.0.10017</vt:lpwstr>
  </property>
</Properties>
</file>